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X:\Faktura3\"/>
    </mc:Choice>
  </mc:AlternateContent>
  <xr:revisionPtr revIDLastSave="0" documentId="13_ncr:1_{20B9270F-D3E5-47D3-B375-C978E060CF0C}" xr6:coauthVersionLast="47" xr6:coauthVersionMax="47" xr10:uidLastSave="{00000000-0000-0000-0000-000000000000}"/>
  <bookViews>
    <workbookView xWindow="-120" yWindow="-120" windowWidth="38640" windowHeight="21120" xr2:uid="{74805A15-68B5-4FDE-B689-8143EE5DAD5D}"/>
  </bookViews>
  <sheets>
    <sheet name="Kunde" sheetId="1" r:id="rId1"/>
    <sheet name="1" sheetId="3" r:id="rId2"/>
    <sheet name="2" sheetId="6" r:id="rId3"/>
    <sheet name="3" sheetId="7" r:id="rId4"/>
    <sheet name="4" sheetId="8" r:id="rId5"/>
    <sheet name="5" sheetId="9" r:id="rId6"/>
  </sheets>
  <definedNames>
    <definedName name="Fullname">_xlfn.LAMBDA(_xlpm.Name1,_xlpm.Name2,_xlpm.Name1 &amp; IF(_xlpm.Name2 = "", "", " " &amp; _xlpm.Name2))</definedName>
    <definedName name="Vorlauf">_xlfn.LAMBDA(_xlpm.Anbieter,_xlfn.IFS(_xlpm.Anbieter = "D1", 6, _xlpm.Anbieter = "TM", 6, _xlpm.Anbieter = "D2", 1, _xlpm.Anbieter = "O2", 1, _xlpm.Anbieter = "Telefonica", 1, _xlpm.Anbieter = "Telefónica", 1, _xlpm.Anbieter = "E+", 1, _xlpm.Anbieter = "Freenet", 1, TRUE(), 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4" i="9" l="1"/>
  <c r="AB4" i="9"/>
  <c r="A4" i="9"/>
  <c r="AA4" i="9" a="1"/>
  <c r="AA4" i="9" s="1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A4" i="8" a="1"/>
  <c r="AA4" i="8" s="1"/>
  <c r="AA5" i="8" a="1"/>
  <c r="AA5" i="8" s="1"/>
  <c r="AA6" i="8" a="1"/>
  <c r="AA6" i="8" s="1"/>
  <c r="AA7" i="8" a="1"/>
  <c r="AA7" i="8" s="1"/>
  <c r="AA8" i="8" a="1"/>
  <c r="AA8" i="8" s="1"/>
  <c r="AA9" i="8" a="1"/>
  <c r="AA9" i="8"/>
  <c r="AA10" i="8" a="1"/>
  <c r="AA10" i="8" s="1"/>
  <c r="AA11" i="8" a="1"/>
  <c r="AA11" i="8" s="1"/>
  <c r="AA12" i="8" a="1"/>
  <c r="AA12" i="8" s="1"/>
  <c r="AA13" i="8" a="1"/>
  <c r="AA13" i="8" s="1"/>
  <c r="AA14" i="8" a="1"/>
  <c r="AA14" i="8" s="1"/>
  <c r="AA15" i="8" a="1"/>
  <c r="AA15" i="8" s="1"/>
  <c r="AA16" i="8" a="1"/>
  <c r="AA16" i="8" s="1"/>
  <c r="AA17" i="8" a="1"/>
  <c r="AA17" i="8" s="1"/>
  <c r="AA18" i="8" a="1"/>
  <c r="AA18" i="8" s="1"/>
  <c r="AA19" i="8" a="1"/>
  <c r="AA19" i="8" s="1"/>
  <c r="AA20" i="8" a="1"/>
  <c r="AA20" i="8" s="1"/>
  <c r="AA21" i="8" a="1"/>
  <c r="AA21" i="8" s="1"/>
  <c r="AA22" i="8" a="1"/>
  <c r="AA22" i="8" s="1"/>
  <c r="AA23" i="8" a="1"/>
  <c r="AA23" i="8" s="1"/>
  <c r="AA24" i="8" a="1"/>
  <c r="AA24" i="8" s="1"/>
  <c r="AA25" i="8" a="1"/>
  <c r="AA25" i="8" s="1"/>
  <c r="AA26" i="8" a="1"/>
  <c r="AA26" i="8" s="1"/>
  <c r="AA27" i="8" a="1"/>
  <c r="AA27" i="8" s="1"/>
  <c r="AA28" i="8" a="1"/>
  <c r="AA28" i="8" s="1"/>
  <c r="AA29" i="8" a="1"/>
  <c r="AA29" i="8" s="1"/>
  <c r="AA30" i="8" a="1"/>
  <c r="AA30" i="8" s="1"/>
  <c r="AA31" i="8" a="1"/>
  <c r="AA31" i="8" s="1"/>
  <c r="AA32" i="8" a="1"/>
  <c r="AA32" i="8" s="1"/>
  <c r="AA33" i="8" a="1"/>
  <c r="AA33" i="8" s="1"/>
  <c r="AA34" i="8" a="1"/>
  <c r="AA34" i="8" s="1"/>
  <c r="AA35" i="8" a="1"/>
  <c r="AA35" i="8" s="1"/>
  <c r="AA36" i="8" a="1"/>
  <c r="AA36" i="8" s="1"/>
  <c r="AA37" i="8" a="1"/>
  <c r="AA37" i="8" s="1"/>
  <c r="AA38" i="8" a="1"/>
  <c r="AA38" i="8" s="1"/>
  <c r="AA39" i="8" a="1"/>
  <c r="AA39" i="8" s="1"/>
  <c r="AA40" i="8" a="1"/>
  <c r="AA40" i="8" s="1"/>
  <c r="AA41" i="8" a="1"/>
  <c r="AA41" i="8" s="1"/>
  <c r="AA42" i="8" a="1"/>
  <c r="AA42" i="8" s="1"/>
  <c r="AA43" i="8" a="1"/>
  <c r="AA43" i="8" s="1"/>
  <c r="AA44" i="8" a="1"/>
  <c r="AA44" i="8" s="1"/>
  <c r="AA45" i="8" a="1"/>
  <c r="AA45" i="8" s="1"/>
  <c r="AA46" i="8" a="1"/>
  <c r="AA46" i="8" s="1"/>
  <c r="AA47" i="8" a="1"/>
  <c r="AA47" i="8" s="1"/>
  <c r="AA48" i="8" a="1"/>
  <c r="AA48" i="8" s="1"/>
  <c r="AA49" i="8" a="1"/>
  <c r="AA49" i="8" s="1"/>
  <c r="AA50" i="8" a="1"/>
  <c r="AA50" i="8" s="1"/>
  <c r="AA51" i="8" a="1"/>
  <c r="AA51" i="8" s="1"/>
  <c r="AA4" i="7" a="1"/>
  <c r="AA4" i="7" s="1"/>
  <c r="AA5" i="7" a="1"/>
  <c r="AA5" i="7" s="1"/>
  <c r="AA6" i="7" a="1"/>
  <c r="AA6" i="7" s="1"/>
  <c r="AA7" i="7" a="1"/>
  <c r="AA7" i="7" s="1"/>
  <c r="AA8" i="7" a="1"/>
  <c r="AA8" i="7" s="1"/>
  <c r="AA9" i="7" a="1"/>
  <c r="AA9" i="7"/>
  <c r="AA10" i="7" a="1"/>
  <c r="AA10" i="7" s="1"/>
  <c r="AA11" i="7" a="1"/>
  <c r="AA11" i="7" s="1"/>
  <c r="AA12" i="7" a="1"/>
  <c r="AA12" i="7" s="1"/>
  <c r="AA13" i="7" a="1"/>
  <c r="AA13" i="7" s="1"/>
  <c r="AA14" i="7" a="1"/>
  <c r="AA14" i="7" s="1"/>
  <c r="AA15" i="7" a="1"/>
  <c r="AA15" i="7" s="1"/>
  <c r="AA16" i="7" a="1"/>
  <c r="AA16" i="7" s="1"/>
  <c r="AA17" i="7" a="1"/>
  <c r="AA17" i="7" s="1"/>
  <c r="AA18" i="7" a="1"/>
  <c r="AA18" i="7" s="1"/>
  <c r="AA19" i="7" a="1"/>
  <c r="AA19" i="7" s="1"/>
  <c r="AA20" i="7" a="1"/>
  <c r="AA20" i="7" s="1"/>
  <c r="AA21" i="7" a="1"/>
  <c r="AA21" i="7" s="1"/>
  <c r="AA22" i="7" a="1"/>
  <c r="AA22" i="7" s="1"/>
  <c r="AA23" i="7" a="1"/>
  <c r="AA23" i="7" s="1"/>
  <c r="AA24" i="7" a="1"/>
  <c r="AA24" i="7" s="1"/>
  <c r="AA25" i="7" a="1"/>
  <c r="AA25" i="7" s="1"/>
  <c r="AA26" i="7" a="1"/>
  <c r="AA26" i="7" s="1"/>
  <c r="AA27" i="7" a="1"/>
  <c r="AA27" i="7" s="1"/>
  <c r="AA28" i="7" a="1"/>
  <c r="AA28" i="7" s="1"/>
  <c r="AA29" i="7" a="1"/>
  <c r="AA29" i="7" s="1"/>
  <c r="AA30" i="7" a="1"/>
  <c r="AA30" i="7" s="1"/>
  <c r="AA31" i="7" a="1"/>
  <c r="AA31" i="7" s="1"/>
  <c r="AA32" i="7" a="1"/>
  <c r="AA32" i="7" s="1"/>
  <c r="AA33" i="7" a="1"/>
  <c r="AA33" i="7" s="1"/>
  <c r="AA34" i="7" a="1"/>
  <c r="AA34" i="7" s="1"/>
  <c r="AA35" i="7" a="1"/>
  <c r="AA35" i="7" s="1"/>
  <c r="AA36" i="7" a="1"/>
  <c r="AA36" i="7" s="1"/>
  <c r="AA37" i="7" a="1"/>
  <c r="AA37" i="7" s="1"/>
  <c r="AA38" i="7" a="1"/>
  <c r="AA38" i="7" s="1"/>
  <c r="AA39" i="7" a="1"/>
  <c r="AA39" i="7" s="1"/>
  <c r="AA40" i="7" a="1"/>
  <c r="AA40" i="7" s="1"/>
  <c r="AA41" i="7" a="1"/>
  <c r="AA41" i="7" s="1"/>
  <c r="AA42" i="7" a="1"/>
  <c r="AA42" i="7" s="1"/>
  <c r="AA43" i="7" a="1"/>
  <c r="AA43" i="7" s="1"/>
  <c r="AA44" i="7" a="1"/>
  <c r="AA44" i="7" s="1"/>
  <c r="AA45" i="7" a="1"/>
  <c r="AA45" i="7" s="1"/>
  <c r="AA46" i="7" a="1"/>
  <c r="AA46" i="7" s="1"/>
  <c r="AA47" i="7" a="1"/>
  <c r="AA47" i="7" s="1"/>
  <c r="AA48" i="7" a="1"/>
  <c r="AA48" i="7" s="1"/>
  <c r="AA49" i="7" a="1"/>
  <c r="AA49" i="7" s="1"/>
  <c r="AA50" i="7" a="1"/>
  <c r="AA50" i="7" s="1"/>
  <c r="AA51" i="7" a="1"/>
  <c r="AA51" i="7" s="1"/>
  <c r="AA52" i="7" a="1"/>
  <c r="AA52" i="7" s="1"/>
  <c r="AA53" i="7" a="1"/>
  <c r="AA53" i="7" s="1"/>
  <c r="AA54" i="7" a="1"/>
  <c r="AA54" i="7" s="1"/>
  <c r="AA55" i="7" a="1"/>
  <c r="AA55" i="7" s="1"/>
  <c r="AA56" i="7" a="1"/>
  <c r="AA56" i="7" s="1"/>
  <c r="AA57" i="7" a="1"/>
  <c r="AA57" i="7" s="1"/>
  <c r="AA58" i="7" a="1"/>
  <c r="AA58" i="7" s="1"/>
  <c r="AA59" i="7" a="1"/>
  <c r="AA59" i="7" s="1"/>
  <c r="AA60" i="7" a="1"/>
  <c r="AA60" i="7" s="1"/>
  <c r="AA61" i="7" a="1"/>
  <c r="AA61" i="7" s="1"/>
  <c r="AA62" i="7" a="1"/>
  <c r="AA62" i="7" s="1"/>
  <c r="AA63" i="7" a="1"/>
  <c r="AA63" i="7" s="1"/>
  <c r="AA64" i="7" a="1"/>
  <c r="AA64" i="7" s="1"/>
  <c r="AA65" i="7" a="1"/>
  <c r="AA65" i="7" s="1"/>
  <c r="AA66" i="7" a="1"/>
  <c r="AA66" i="7" s="1"/>
  <c r="AA67" i="7" a="1"/>
  <c r="AA67" i="7" s="1"/>
  <c r="AA68" i="7" a="1"/>
  <c r="AA68" i="7" s="1"/>
  <c r="AA69" i="7" a="1"/>
  <c r="AA69" i="7" s="1"/>
  <c r="AA70" i="7" a="1"/>
  <c r="AA70" i="7" s="1"/>
  <c r="AA71" i="7" a="1"/>
  <c r="AA71" i="7" s="1"/>
  <c r="AA72" i="7" a="1"/>
  <c r="AA72" i="7" s="1"/>
  <c r="AA73" i="7" a="1"/>
  <c r="AA73" i="7" s="1"/>
  <c r="AA74" i="7" a="1"/>
  <c r="AA74" i="7" s="1"/>
  <c r="AA75" i="7" a="1"/>
  <c r="AA75" i="7" s="1"/>
  <c r="AA76" i="7" a="1"/>
  <c r="AA76" i="7" s="1"/>
  <c r="AA77" i="7" a="1"/>
  <c r="AA77" i="7" s="1"/>
  <c r="AA78" i="7" a="1"/>
  <c r="AA78" i="7" s="1"/>
  <c r="AA79" i="7" a="1"/>
  <c r="AA79" i="7" s="1"/>
  <c r="AA80" i="7" a="1"/>
  <c r="AA80" i="7" s="1"/>
  <c r="AA81" i="7" a="1"/>
  <c r="AA81" i="7"/>
  <c r="AA82" i="7" a="1"/>
  <c r="AA82" i="7"/>
  <c r="AA83" i="7" a="1"/>
  <c r="AA83" i="7"/>
  <c r="AA84" i="7" a="1"/>
  <c r="AA84" i="7"/>
  <c r="AA85" i="7" a="1"/>
  <c r="AA85" i="7"/>
  <c r="AA86" i="7" a="1"/>
  <c r="AA86" i="7"/>
  <c r="AA87" i="7" a="1"/>
  <c r="AA87" i="7"/>
  <c r="AA88" i="7" a="1"/>
  <c r="AA88" i="7"/>
  <c r="AA89" i="7" a="1"/>
  <c r="AA89" i="7"/>
  <c r="AA90" i="7" a="1"/>
  <c r="AA90" i="7"/>
  <c r="AA91" i="7" a="1"/>
  <c r="AA91" i="7"/>
  <c r="AA92" i="7" a="1"/>
  <c r="AA92" i="7"/>
  <c r="AA93" i="7" a="1"/>
  <c r="AA93" i="7"/>
  <c r="AA94" i="7" a="1"/>
  <c r="AA94" i="7"/>
  <c r="AA95" i="7" a="1"/>
  <c r="AA95" i="7"/>
  <c r="AA4" i="6" a="1"/>
  <c r="AA4" i="6" s="1"/>
  <c r="AA5" i="6" a="1"/>
  <c r="AA5" i="6" s="1"/>
  <c r="AA6" i="6" a="1"/>
  <c r="AA6" i="6" s="1"/>
  <c r="AA7" i="6" a="1"/>
  <c r="AA7" i="6" s="1"/>
  <c r="AA8" i="6" a="1"/>
  <c r="AA8" i="6" s="1"/>
  <c r="AA9" i="6" a="1"/>
  <c r="AA9" i="6" s="1"/>
  <c r="AA10" i="6" a="1"/>
  <c r="AA10" i="6" s="1"/>
  <c r="AA11" i="6" a="1"/>
  <c r="AA11" i="6" s="1"/>
  <c r="AA12" i="6" a="1"/>
  <c r="AA12" i="6" s="1"/>
  <c r="AA13" i="6" a="1"/>
  <c r="AA13" i="6" s="1"/>
  <c r="AA14" i="6" a="1"/>
  <c r="AA14" i="6" s="1"/>
  <c r="AA15" i="6" a="1"/>
  <c r="AA15" i="6" s="1"/>
  <c r="AA16" i="6" a="1"/>
  <c r="AA16" i="6" s="1"/>
  <c r="AA17" i="6" a="1"/>
  <c r="AA17" i="6" s="1"/>
  <c r="AA18" i="6" a="1"/>
  <c r="AA18" i="6" s="1"/>
  <c r="AA19" i="6" a="1"/>
  <c r="AA19" i="6" s="1"/>
  <c r="AA20" i="6" a="1"/>
  <c r="AA20" i="6" s="1"/>
  <c r="AA21" i="6" a="1"/>
  <c r="AA21" i="6" s="1"/>
  <c r="AA22" i="6" a="1"/>
  <c r="AA22" i="6" s="1"/>
  <c r="AA23" i="6" a="1"/>
  <c r="AA23" i="6" s="1"/>
  <c r="AA24" i="6" a="1"/>
  <c r="AA24" i="6" s="1"/>
  <c r="AA25" i="6" a="1"/>
  <c r="AA25" i="6" s="1"/>
  <c r="AA26" i="6" a="1"/>
  <c r="AA26" i="6" s="1"/>
  <c r="AA27" i="6" a="1"/>
  <c r="AA27" i="6" s="1"/>
  <c r="AA28" i="6" a="1"/>
  <c r="AA28" i="6" s="1"/>
  <c r="AA29" i="6" a="1"/>
  <c r="AA29" i="6" s="1"/>
  <c r="AA30" i="6" a="1"/>
  <c r="AA30" i="6" s="1"/>
  <c r="AA31" i="6" a="1"/>
  <c r="AA31" i="6" s="1"/>
  <c r="AA32" i="6" a="1"/>
  <c r="AA32" i="6" s="1"/>
  <c r="AA33" i="6" a="1"/>
  <c r="AA33" i="6" s="1"/>
  <c r="AA34" i="6" a="1"/>
  <c r="AA34" i="6" s="1"/>
  <c r="AA35" i="6" a="1"/>
  <c r="AA35" i="6" s="1"/>
  <c r="AA36" i="6" a="1"/>
  <c r="AA36" i="6" s="1"/>
  <c r="AA37" i="6" a="1"/>
  <c r="AA37" i="6" s="1"/>
  <c r="AA38" i="6" a="1"/>
  <c r="AA38" i="6" s="1"/>
  <c r="AA39" i="6" a="1"/>
  <c r="AA39" i="6" s="1"/>
  <c r="AA40" i="6" a="1"/>
  <c r="AA40" i="6" s="1"/>
  <c r="AA41" i="6" a="1"/>
  <c r="AA41" i="6" s="1"/>
  <c r="AA42" i="6" a="1"/>
  <c r="AA42" i="6" s="1"/>
  <c r="AA43" i="6" a="1"/>
  <c r="AA43" i="6" s="1"/>
  <c r="AA44" i="6" a="1"/>
  <c r="AA44" i="6" s="1"/>
  <c r="AA45" i="6" a="1"/>
  <c r="AA45" i="6" s="1"/>
  <c r="AA46" i="6" a="1"/>
  <c r="AA46" i="6" s="1"/>
  <c r="AA47" i="6" a="1"/>
  <c r="AA47" i="6" s="1"/>
  <c r="AA48" i="6" a="1"/>
  <c r="AA48" i="6" s="1"/>
  <c r="AA49" i="6" a="1"/>
  <c r="AA49" i="6" s="1"/>
  <c r="AA50" i="6" a="1"/>
  <c r="AA50" i="6" s="1"/>
  <c r="AA51" i="6" a="1"/>
  <c r="AA51" i="6" s="1"/>
  <c r="AA52" i="6" a="1"/>
  <c r="AA52" i="6" s="1"/>
  <c r="AA53" i="6" a="1"/>
  <c r="AA53" i="6" s="1"/>
  <c r="AA54" i="6" a="1"/>
  <c r="AA54" i="6" s="1"/>
  <c r="AA55" i="6" a="1"/>
  <c r="AA55" i="6" s="1"/>
  <c r="AA56" i="6" a="1"/>
  <c r="AA56" i="6" s="1"/>
  <c r="AA57" i="6" a="1"/>
  <c r="AA57" i="6" s="1"/>
  <c r="AA58" i="6" a="1"/>
  <c r="AA58" i="6" s="1"/>
  <c r="AA59" i="6" a="1"/>
  <c r="AA59" i="6" s="1"/>
  <c r="AA60" i="6" a="1"/>
  <c r="AA60" i="6" s="1"/>
  <c r="AA61" i="6" a="1"/>
  <c r="AA61" i="6" s="1"/>
  <c r="AA62" i="6" a="1"/>
  <c r="AA62" i="6" s="1"/>
  <c r="AA63" i="6" a="1"/>
  <c r="AA63" i="6" s="1"/>
  <c r="AA64" i="6" a="1"/>
  <c r="AA64" i="6" s="1"/>
  <c r="AA65" i="6" a="1"/>
  <c r="AA65" i="6" s="1"/>
  <c r="AA66" i="6" a="1"/>
  <c r="AA66" i="6" s="1"/>
  <c r="AA67" i="6" a="1"/>
  <c r="AA67" i="6" s="1"/>
  <c r="AA68" i="6" a="1"/>
  <c r="AA68" i="6" s="1"/>
  <c r="AA69" i="6" a="1"/>
  <c r="AA69" i="6" s="1"/>
  <c r="AA70" i="6" a="1"/>
  <c r="AA70" i="6" s="1"/>
  <c r="AA71" i="6" a="1"/>
  <c r="AA71" i="6" s="1"/>
  <c r="AA72" i="6" a="1"/>
  <c r="AA72" i="6" s="1"/>
  <c r="AA73" i="6" a="1"/>
  <c r="AA73" i="6" s="1"/>
  <c r="AA74" i="6" a="1"/>
  <c r="AA74" i="6" s="1"/>
  <c r="AA75" i="6" a="1"/>
  <c r="AA75" i="6" s="1"/>
  <c r="AA76" i="6" a="1"/>
  <c r="AA76" i="6" s="1"/>
  <c r="AA77" i="6" a="1"/>
  <c r="AA77" i="6" s="1"/>
  <c r="AA78" i="6" a="1"/>
  <c r="AA78" i="6" s="1"/>
  <c r="AA79" i="6" a="1"/>
  <c r="AA79" i="6" s="1"/>
  <c r="AA80" i="6" a="1"/>
  <c r="AA80" i="6" s="1"/>
  <c r="AA81" i="6" a="1"/>
  <c r="AA81" i="6" s="1"/>
  <c r="AA82" i="6" a="1"/>
  <c r="AA82" i="6" s="1"/>
  <c r="AA83" i="6" a="1"/>
  <c r="AA83" i="6" s="1"/>
  <c r="AA84" i="6" a="1"/>
  <c r="AA84" i="6" s="1"/>
  <c r="AA85" i="6" a="1"/>
  <c r="AA85" i="6" s="1"/>
  <c r="AA86" i="6" a="1"/>
  <c r="AA86" i="6" s="1"/>
  <c r="AA87" i="6" a="1"/>
  <c r="AA87" i="6" s="1"/>
  <c r="AA88" i="6" a="1"/>
  <c r="AA88" i="6" s="1"/>
  <c r="AA89" i="6" a="1"/>
  <c r="AA89" i="6" s="1"/>
  <c r="AA90" i="6" a="1"/>
  <c r="AA90" i="6" s="1"/>
  <c r="AA91" i="6" a="1"/>
  <c r="AA91" i="6" s="1"/>
  <c r="AA92" i="6" a="1"/>
  <c r="AA92" i="6" s="1"/>
  <c r="Z4" i="3" a="1"/>
  <c r="Z4" i="3" s="1"/>
  <c r="Z5" i="3" a="1"/>
  <c r="Z5" i="3" s="1"/>
  <c r="Z6" i="3" a="1"/>
  <c r="Z6" i="3" s="1"/>
  <c r="Z7" i="3" a="1"/>
  <c r="Z7" i="3" s="1"/>
  <c r="Z8" i="3" a="1"/>
  <c r="Z8" i="3" s="1"/>
  <c r="Z9" i="3" a="1"/>
  <c r="Z9" i="3" s="1"/>
  <c r="Z10" i="3" a="1"/>
  <c r="Z10" i="3" s="1"/>
  <c r="Z11" i="3" a="1"/>
  <c r="Z11" i="3" s="1"/>
  <c r="Z12" i="3" a="1"/>
  <c r="Z12" i="3" s="1"/>
  <c r="Z13" i="3" a="1"/>
  <c r="Z13" i="3" s="1"/>
  <c r="Z14" i="3" a="1"/>
  <c r="Z14" i="3" s="1"/>
  <c r="Z15" i="3" a="1"/>
  <c r="Z15" i="3" s="1"/>
  <c r="Z16" i="3" a="1"/>
  <c r="Z16" i="3" s="1"/>
  <c r="Z17" i="3" a="1"/>
  <c r="Z17" i="3" s="1"/>
  <c r="Z18" i="3" a="1"/>
  <c r="Z18" i="3" s="1"/>
  <c r="Z19" i="3" a="1"/>
  <c r="Z19" i="3" s="1"/>
  <c r="Z20" i="3" a="1"/>
  <c r="Z20" i="3" s="1"/>
  <c r="Z21" i="3" a="1"/>
  <c r="Z21" i="3" s="1"/>
  <c r="Z22" i="3" a="1"/>
  <c r="Z22" i="3" s="1"/>
  <c r="Z23" i="3" a="1"/>
  <c r="Z23" i="3" s="1"/>
  <c r="Z24" i="3" a="1"/>
  <c r="Z24" i="3" s="1"/>
  <c r="Z25" i="3" a="1"/>
  <c r="Z25" i="3" s="1"/>
  <c r="Z26" i="3" a="1"/>
  <c r="Z26" i="3" s="1"/>
  <c r="Z27" i="3" a="1"/>
  <c r="Z27" i="3" s="1"/>
  <c r="Z28" i="3" a="1"/>
  <c r="Z28" i="3" s="1"/>
  <c r="Z29" i="3" a="1"/>
  <c r="Z29" i="3" s="1"/>
  <c r="Z30" i="3" a="1"/>
  <c r="Z30" i="3" s="1"/>
  <c r="Z31" i="3" a="1"/>
  <c r="Z31" i="3" s="1"/>
  <c r="Z32" i="3" a="1"/>
  <c r="Z32" i="3" s="1"/>
  <c r="Z33" i="3" a="1"/>
  <c r="Z33" i="3" s="1"/>
  <c r="Z34" i="3" a="1"/>
  <c r="Z34" i="3" s="1"/>
  <c r="Z35" i="3" a="1"/>
  <c r="Z35" i="3" s="1"/>
  <c r="Z36" i="3" a="1"/>
  <c r="Z36" i="3" s="1"/>
  <c r="Z37" i="3" a="1"/>
  <c r="Z37" i="3" s="1"/>
  <c r="Z38" i="3" a="1"/>
  <c r="Z38" i="3" s="1"/>
  <c r="Z39" i="3" a="1"/>
  <c r="Z39" i="3" s="1"/>
  <c r="Z40" i="3" a="1"/>
  <c r="Z40" i="3" s="1"/>
  <c r="Z41" i="3" a="1"/>
  <c r="Z41" i="3" s="1"/>
  <c r="Z42" i="3" a="1"/>
  <c r="Z42" i="3" s="1"/>
  <c r="Z43" i="3" a="1"/>
  <c r="Z43" i="3" s="1"/>
  <c r="Z44" i="3" a="1"/>
  <c r="Z44" i="3" s="1"/>
  <c r="Z45" i="3" a="1"/>
  <c r="Z45" i="3" s="1"/>
  <c r="Z46" i="3" a="1"/>
  <c r="Z46" i="3" s="1"/>
  <c r="Z47" i="3" a="1"/>
  <c r="Z47" i="3" s="1"/>
  <c r="Z48" i="3" a="1"/>
  <c r="Z48" i="3" s="1"/>
  <c r="Z49" i="3" a="1"/>
  <c r="Z49" i="3" s="1"/>
  <c r="Z50" i="3" a="1"/>
  <c r="Z50" i="3" s="1"/>
  <c r="Z51" i="3" a="1"/>
  <c r="Z51" i="3" s="1"/>
  <c r="Z52" i="3" a="1"/>
  <c r="Z52" i="3" s="1"/>
  <c r="Z53" i="3" a="1"/>
  <c r="Z53" i="3" s="1"/>
  <c r="Z54" i="3" a="1"/>
  <c r="Z54" i="3" s="1"/>
  <c r="Z55" i="3" a="1"/>
  <c r="Z55" i="3" s="1"/>
  <c r="Z56" i="3" a="1"/>
  <c r="Z56" i="3" s="1"/>
  <c r="Z57" i="3" a="1"/>
  <c r="Z57" i="3" s="1"/>
  <c r="Z58" i="3" a="1"/>
  <c r="Z58" i="3" s="1"/>
  <c r="Z59" i="3" a="1"/>
  <c r="Z59" i="3" s="1"/>
  <c r="Z60" i="3" a="1"/>
  <c r="Z60" i="3" s="1"/>
  <c r="Z61" i="3" a="1"/>
  <c r="Z61" i="3" s="1"/>
  <c r="Z62" i="3" a="1"/>
  <c r="Z62" i="3" s="1"/>
  <c r="Z63" i="3" a="1"/>
  <c r="Z63" i="3" s="1"/>
  <c r="Z64" i="3" a="1"/>
  <c r="Z64" i="3" s="1"/>
  <c r="Z65" i="3" a="1"/>
  <c r="Z65" i="3" s="1"/>
  <c r="Z66" i="3" a="1"/>
  <c r="Z66" i="3" s="1"/>
  <c r="Z67" i="3" a="1"/>
  <c r="Z67" i="3" s="1"/>
  <c r="Z68" i="3" a="1"/>
  <c r="Z68" i="3" s="1"/>
  <c r="Z69" i="3" a="1"/>
  <c r="Z69" i="3" s="1"/>
  <c r="Z70" i="3" a="1"/>
  <c r="Z70" i="3" s="1"/>
  <c r="Z71" i="3" a="1"/>
  <c r="Z71" i="3" s="1"/>
  <c r="Z72" i="3" a="1"/>
  <c r="Z72" i="3" s="1"/>
  <c r="Z73" i="3" a="1"/>
  <c r="Z73" i="3" s="1"/>
  <c r="Z74" i="3" a="1"/>
  <c r="Z74" i="3" s="1"/>
  <c r="Z75" i="3" a="1"/>
  <c r="Z75" i="3" s="1"/>
  <c r="Z76" i="3" a="1"/>
  <c r="Z76" i="3" s="1"/>
  <c r="Z77" i="3" a="1"/>
  <c r="Z77" i="3" s="1"/>
  <c r="Z78" i="3" a="1"/>
  <c r="Z78" i="3" s="1"/>
  <c r="Z79" i="3" a="1"/>
  <c r="Z79" i="3" s="1"/>
  <c r="Z80" i="3" a="1"/>
  <c r="Z80" i="3" s="1"/>
  <c r="Z81" i="3" a="1"/>
  <c r="Z81" i="3" s="1"/>
  <c r="Z82" i="3" a="1"/>
  <c r="Z82" i="3" s="1"/>
  <c r="Z83" i="3" a="1"/>
  <c r="Z83" i="3" s="1"/>
  <c r="Z84" i="3" a="1"/>
  <c r="Z84" i="3" s="1"/>
  <c r="Z85" i="3" a="1"/>
  <c r="Z85" i="3" s="1"/>
  <c r="Z86" i="3" a="1"/>
  <c r="Z86" i="3" s="1"/>
  <c r="Z87" i="3" a="1"/>
  <c r="Z87" i="3" s="1"/>
  <c r="Z88" i="3" a="1"/>
  <c r="Z88" i="3" s="1"/>
  <c r="Z89" i="3" a="1"/>
  <c r="Z89" i="3" s="1"/>
  <c r="Z90" i="3" a="1"/>
  <c r="Z90" i="3" s="1"/>
  <c r="Z91" i="3" a="1"/>
  <c r="Z91" i="3" s="1"/>
  <c r="Z92" i="3" a="1"/>
  <c r="Z92" i="3" s="1"/>
  <c r="Z93" i="3" a="1"/>
  <c r="Z93" i="3" s="1"/>
  <c r="Z94" i="3" a="1"/>
  <c r="Z94" i="3" s="1"/>
  <c r="Z95" i="3" a="1"/>
  <c r="Z95" i="3" s="1"/>
  <c r="Z96" i="3" a="1"/>
  <c r="Z96" i="3" s="1"/>
  <c r="Z97" i="3" a="1"/>
  <c r="Z97" i="3" s="1"/>
  <c r="Z98" i="3" a="1"/>
  <c r="Z98" i="3" s="1"/>
  <c r="Z99" i="3" a="1"/>
  <c r="Z99" i="3" s="1"/>
  <c r="Z100" i="3" a="1"/>
  <c r="Z100" i="3" s="1"/>
  <c r="Z101" i="3" a="1"/>
  <c r="Z101" i="3" s="1"/>
  <c r="Z102" i="3" a="1"/>
  <c r="Z102" i="3" s="1"/>
  <c r="Z103" i="3" a="1"/>
  <c r="Z103" i="3" s="1"/>
  <c r="Z104" i="3" a="1"/>
  <c r="Z104" i="3" s="1"/>
  <c r="Z105" i="3" a="1"/>
  <c r="Z105" i="3" s="1"/>
  <c r="Z106" i="3" a="1"/>
  <c r="Z106" i="3" s="1"/>
  <c r="Z107" i="3" a="1"/>
  <c r="Z107" i="3" s="1"/>
  <c r="Z108" i="3" a="1"/>
  <c r="Z108" i="3" s="1"/>
  <c r="Z109" i="3" a="1"/>
  <c r="Z109" i="3" s="1"/>
  <c r="Z110" i="3" a="1"/>
  <c r="Z110" i="3" s="1"/>
  <c r="C1" i="9" a="1"/>
  <c r="C1" i="9" s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4" i="8"/>
  <c r="C1" i="8" a="1"/>
  <c r="C1" i="8" s="1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4" i="7"/>
  <c r="C1" i="7" a="1"/>
  <c r="C1" i="7" s="1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5" i="6"/>
  <c r="A4" i="6"/>
  <c r="C1" i="6" a="1"/>
  <c r="C1" i="6" s="1"/>
  <c r="C1" i="3" a="1"/>
  <c r="C1" i="3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B4" i="8" l="1"/>
  <c r="AC4" i="8"/>
  <c r="AB5" i="8"/>
  <c r="AC5" i="8"/>
  <c r="AC6" i="8"/>
  <c r="AB6" i="8"/>
  <c r="AC7" i="8"/>
  <c r="AB7" i="8"/>
  <c r="AB8" i="8"/>
  <c r="AC8" i="8"/>
  <c r="AB9" i="8"/>
  <c r="AC9" i="8"/>
  <c r="AC10" i="8"/>
  <c r="AB10" i="8"/>
  <c r="AC11" i="8"/>
  <c r="AB11" i="8"/>
  <c r="AB12" i="8"/>
  <c r="AC12" i="8"/>
  <c r="AB13" i="8"/>
  <c r="AC13" i="8"/>
  <c r="AB14" i="8"/>
  <c r="AC14" i="8"/>
  <c r="AC15" i="8"/>
  <c r="AB15" i="8"/>
  <c r="AB16" i="8"/>
  <c r="AC16" i="8"/>
  <c r="AC17" i="8"/>
  <c r="AB17" i="8"/>
  <c r="AC18" i="8"/>
  <c r="AB18" i="8"/>
  <c r="AC19" i="8"/>
  <c r="AB19" i="8"/>
  <c r="AC20" i="8"/>
  <c r="AB20" i="8"/>
  <c r="AC21" i="8"/>
  <c r="AB21" i="8"/>
  <c r="AC22" i="8"/>
  <c r="AB22" i="8"/>
  <c r="AC23" i="8"/>
  <c r="AB23" i="8"/>
  <c r="AC24" i="8"/>
  <c r="AB24" i="8"/>
  <c r="AB25" i="8"/>
  <c r="AC25" i="8"/>
  <c r="AC26" i="8"/>
  <c r="AB26" i="8"/>
  <c r="AC27" i="8"/>
  <c r="AB27" i="8"/>
  <c r="AC28" i="8"/>
  <c r="AB28" i="8"/>
  <c r="AC29" i="8"/>
  <c r="AB29" i="8"/>
  <c r="AC30" i="8"/>
  <c r="AB30" i="8"/>
  <c r="AB31" i="8"/>
  <c r="AC31" i="8"/>
  <c r="AB32" i="8"/>
  <c r="AC32" i="8"/>
  <c r="AC33" i="8"/>
  <c r="AB33" i="8"/>
  <c r="AC34" i="8"/>
  <c r="AB34" i="8"/>
  <c r="AC35" i="8"/>
  <c r="AB35" i="8"/>
  <c r="AB36" i="8"/>
  <c r="AC36" i="8"/>
  <c r="AB37" i="8"/>
  <c r="AC37" i="8"/>
  <c r="AB38" i="8"/>
  <c r="AC38" i="8"/>
  <c r="AC39" i="8"/>
  <c r="AB39" i="8"/>
  <c r="AB40" i="8"/>
  <c r="AC40" i="8"/>
  <c r="AB41" i="8"/>
  <c r="AC41" i="8"/>
  <c r="AC42" i="8"/>
  <c r="AB42" i="8"/>
  <c r="AB43" i="8"/>
  <c r="AC43" i="8"/>
  <c r="AB44" i="8"/>
  <c r="AC44" i="8"/>
  <c r="AC45" i="8"/>
  <c r="AB45" i="8"/>
  <c r="AC46" i="8"/>
  <c r="AB46" i="8"/>
  <c r="AC47" i="8"/>
  <c r="AB47" i="8"/>
  <c r="AC48" i="8"/>
  <c r="AB48" i="8"/>
  <c r="AC49" i="8"/>
  <c r="AB49" i="8"/>
  <c r="AC50" i="8"/>
  <c r="AB50" i="8"/>
  <c r="AC51" i="8"/>
  <c r="AB51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<sst xmlns="http://schemas.openxmlformats.org/spreadsheetml/2006/main" count="3404" uniqueCount="389">
  <si>
    <t>Vertragspartner</t>
  </si>
  <si>
    <t>Rechnungsempfänger</t>
  </si>
  <si>
    <t>Name</t>
  </si>
  <si>
    <t>Strasse</t>
  </si>
  <si>
    <t>PLZ, Ort</t>
  </si>
  <si>
    <t>Bank</t>
  </si>
  <si>
    <t>IBAN</t>
  </si>
  <si>
    <t>BIC</t>
  </si>
  <si>
    <t>Nummer</t>
  </si>
  <si>
    <t>Ort</t>
  </si>
  <si>
    <t>Gutschriften</t>
  </si>
  <si>
    <t>Bankverbindung</t>
  </si>
  <si>
    <t>Handelsregister</t>
  </si>
  <si>
    <t>Gewerbeschein</t>
  </si>
  <si>
    <t>Anrede</t>
  </si>
  <si>
    <t>Nachname</t>
  </si>
  <si>
    <t>Vorname</t>
  </si>
  <si>
    <t>Telefon</t>
  </si>
  <si>
    <t>Mobil</t>
  </si>
  <si>
    <t>Ausweis-Nr.</t>
  </si>
  <si>
    <t>Titel/Abteilung</t>
  </si>
  <si>
    <t>Ansprechpartner</t>
  </si>
  <si>
    <t>Notizen</t>
  </si>
  <si>
    <t>Geburtsdatum</t>
  </si>
  <si>
    <t>Kartenanzahl</t>
  </si>
  <si>
    <t>Kunde seit</t>
  </si>
  <si>
    <t>Vertriebler</t>
  </si>
  <si>
    <t>Rechnung vom</t>
  </si>
  <si>
    <t>Kennwort</t>
  </si>
  <si>
    <t>Zahlungsart</t>
  </si>
  <si>
    <t>Überweisung</t>
  </si>
  <si>
    <t>Analyse vom</t>
  </si>
  <si>
    <t>Sonstiges</t>
  </si>
  <si>
    <t>Friedrich von Lien AG</t>
  </si>
  <si>
    <t>Moordamm 4</t>
  </si>
  <si>
    <t>27404 Zeven</t>
  </si>
  <si>
    <t>HRB 121343</t>
  </si>
  <si>
    <t>Tostedt</t>
  </si>
  <si>
    <t>Lehrmann</t>
  </si>
  <si>
    <t>WECKMAN1</t>
  </si>
  <si>
    <t>VVL-fähige in TM327 überführen
im Zuge der VVL:
BMMH3, CF1+, 1x MultiSIM
Hardware immer +50,00 € (nur zukünftigtige VVL)</t>
  </si>
  <si>
    <t>Volksbank im Elbe-Weser-Dreieck</t>
  </si>
  <si>
    <t>GENODEF1BEV</t>
  </si>
  <si>
    <t>DE58 2926 5747 7436 7315 00</t>
  </si>
  <si>
    <t>Herr</t>
  </si>
  <si>
    <t>von Rönn</t>
  </si>
  <si>
    <t>Luca</t>
  </si>
  <si>
    <t>04281 - 9515112</t>
  </si>
  <si>
    <t>luca.von-roenn@von-lien.de</t>
  </si>
  <si>
    <t>Abteilung</t>
  </si>
  <si>
    <t>Buchhaltung</t>
  </si>
  <si>
    <t>buchhaltung@von-lien.de</t>
  </si>
  <si>
    <t>Haupt-Asp</t>
  </si>
  <si>
    <t>Kunden-Karteikarte</t>
  </si>
  <si>
    <t>E-Mail</t>
  </si>
  <si>
    <t>Nr.</t>
  </si>
  <si>
    <t>Rufnummer</t>
  </si>
  <si>
    <t>Multi Ultra</t>
  </si>
  <si>
    <t>Anbieter</t>
  </si>
  <si>
    <t xml:space="preserve">Option </t>
  </si>
  <si>
    <t>Option 2</t>
  </si>
  <si>
    <t>Option 3</t>
  </si>
  <si>
    <t>Option 4</t>
  </si>
  <si>
    <t>0160-7863491</t>
  </si>
  <si>
    <t>00001-70010145-7</t>
  </si>
  <si>
    <t>0061649340</t>
  </si>
  <si>
    <t>87027522</t>
  </si>
  <si>
    <t>TM217</t>
  </si>
  <si>
    <t>D1</t>
  </si>
  <si>
    <t>DCMBB</t>
  </si>
  <si>
    <t>0160-7863492</t>
  </si>
  <si>
    <t>00001-70010146-5</t>
  </si>
  <si>
    <t>0160-7863493</t>
  </si>
  <si>
    <t>00001-70010147-3</t>
  </si>
  <si>
    <t>0160-7863494</t>
  </si>
  <si>
    <t>00001-70010148-1</t>
  </si>
  <si>
    <t>0171-2120735</t>
  </si>
  <si>
    <t>00001-77887291-4</t>
  </si>
  <si>
    <t>BMSH3</t>
  </si>
  <si>
    <t>Samsung Galaxy A52s 5G 256GB schwarz</t>
  </si>
  <si>
    <t>0151-18903607</t>
  </si>
  <si>
    <t>00001-76878897-1</t>
  </si>
  <si>
    <t>x</t>
  </si>
  <si>
    <t>Samsung Galaxy A32 5G 128GB schwarz</t>
  </si>
  <si>
    <t>0151-16478328</t>
  </si>
  <si>
    <t>00001-76878849-2</t>
  </si>
  <si>
    <t>0151-43129622</t>
  </si>
  <si>
    <t>00001-80835358-8</t>
  </si>
  <si>
    <t>Samsung Galaxy A32 5G 64GB EE schwarz</t>
  </si>
  <si>
    <t>0151-43129209</t>
  </si>
  <si>
    <t>00001-80835355-4</t>
  </si>
  <si>
    <t>0151-43126823</t>
  </si>
  <si>
    <t>00001-80835352-1</t>
  </si>
  <si>
    <t>0151-43122884</t>
  </si>
  <si>
    <t>00001-80835349-7</t>
  </si>
  <si>
    <t>0151-43117054</t>
  </si>
  <si>
    <t>00001-80835346-3</t>
  </si>
  <si>
    <t>0151-28835002</t>
  </si>
  <si>
    <t>00001-80835343-0</t>
  </si>
  <si>
    <t>0151-72402978</t>
  </si>
  <si>
    <t>00001-82256607-4</t>
  </si>
  <si>
    <t>Samsung Galaxy A53 5G 128GB Orange</t>
  </si>
  <si>
    <t>0151-52926780</t>
  </si>
  <si>
    <t>00001-83923555-6</t>
  </si>
  <si>
    <t>Samsung Galaxy Tab Active3 EE</t>
  </si>
  <si>
    <t>0160-98112717</t>
  </si>
  <si>
    <t>00001-86474175-9</t>
  </si>
  <si>
    <t>Samsung Galaxy A53 5G 128GB Schwarz</t>
  </si>
  <si>
    <t>0151-59902850</t>
  </si>
  <si>
    <t>00001-88676788-1</t>
  </si>
  <si>
    <t>Samsung Galaxy Tab A8 LTE 32GB Grau</t>
  </si>
  <si>
    <t>0175-4155924</t>
  </si>
  <si>
    <t>00001-84057971-1</t>
  </si>
  <si>
    <t>Samsung Galaxy A33 5G 128GB Schwarz</t>
  </si>
  <si>
    <t>0160-98572114</t>
  </si>
  <si>
    <t>00001-84009982-7</t>
  </si>
  <si>
    <t>Samsung Galaxy A34 5G 128GB Schwarz</t>
  </si>
  <si>
    <t>0151-70382665</t>
  </si>
  <si>
    <t>00001-80494321-8</t>
  </si>
  <si>
    <t>0175-4549654</t>
  </si>
  <si>
    <t>00001-61558916-8</t>
  </si>
  <si>
    <t>0175-6013246</t>
  </si>
  <si>
    <t>00001-62625118-8</t>
  </si>
  <si>
    <t>0175-6016444</t>
  </si>
  <si>
    <t>00001-61558918-4</t>
  </si>
  <si>
    <t>0175-6028099</t>
  </si>
  <si>
    <t>00001-61558919-2</t>
  </si>
  <si>
    <t>0175-6030029</t>
  </si>
  <si>
    <t>00001-63583428-9</t>
  </si>
  <si>
    <t>0175-6030705</t>
  </si>
  <si>
    <t>00001-63583429-7</t>
  </si>
  <si>
    <t>0175-6036922</t>
  </si>
  <si>
    <t>00001-63583430-5</t>
  </si>
  <si>
    <t>0175-6041441</t>
  </si>
  <si>
    <t>00001-63583431-3</t>
  </si>
  <si>
    <t>0175-6044274</t>
  </si>
  <si>
    <t>00001-63583432-1</t>
  </si>
  <si>
    <t>0175-6050220</t>
  </si>
  <si>
    <t>00001-63583433-9</t>
  </si>
  <si>
    <t>0175-6059733</t>
  </si>
  <si>
    <t>00001-63583434-7</t>
  </si>
  <si>
    <t>0175-6061688</t>
  </si>
  <si>
    <t>00001-63583435-4</t>
  </si>
  <si>
    <t>0175-6064122</t>
  </si>
  <si>
    <t>00001-63583436-2</t>
  </si>
  <si>
    <t>0175-6074085</t>
  </si>
  <si>
    <t>00001-63583437-0</t>
  </si>
  <si>
    <t>0175-6076446</t>
  </si>
  <si>
    <t>00001-63583438-8</t>
  </si>
  <si>
    <t>0175-6076619</t>
  </si>
  <si>
    <t>00001-63583439-6</t>
  </si>
  <si>
    <t>0175-6091399</t>
  </si>
  <si>
    <t>00001-63583440-4</t>
  </si>
  <si>
    <t>0175-7313789</t>
  </si>
  <si>
    <t>00001-63583441-2</t>
  </si>
  <si>
    <t>0175-7316397</t>
  </si>
  <si>
    <t>00001-63583442-0</t>
  </si>
  <si>
    <t>0175-7320540</t>
  </si>
  <si>
    <t>00001-63583443-8</t>
  </si>
  <si>
    <t>0175-7323756</t>
  </si>
  <si>
    <t>00001-63583444-6</t>
  </si>
  <si>
    <t>BMDSH</t>
  </si>
  <si>
    <t>0175-7326216</t>
  </si>
  <si>
    <t>00001-63583445-3</t>
  </si>
  <si>
    <t>0175-7327044</t>
  </si>
  <si>
    <t>00001-63583446-1</t>
  </si>
  <si>
    <t>0175-7327260</t>
  </si>
  <si>
    <t>00001-63583447-9</t>
  </si>
  <si>
    <t>0175-7331805</t>
  </si>
  <si>
    <t>00001-63583448-7</t>
  </si>
  <si>
    <t>0175-7334837</t>
  </si>
  <si>
    <t>00001-63583449-5</t>
  </si>
  <si>
    <t>0175-7338161</t>
  </si>
  <si>
    <t>00001-63583450-3</t>
  </si>
  <si>
    <t>0175-7340272</t>
  </si>
  <si>
    <t>00001-63583451-1</t>
  </si>
  <si>
    <t>0175-7341160</t>
  </si>
  <si>
    <t>00001-63583452-9</t>
  </si>
  <si>
    <t>0175-7345169</t>
  </si>
  <si>
    <t>00001-63583453-7</t>
  </si>
  <si>
    <t>0175-7354114</t>
  </si>
  <si>
    <t>00001-63583454-5</t>
  </si>
  <si>
    <t>0175-7354409</t>
  </si>
  <si>
    <t>00001-63583455-2</t>
  </si>
  <si>
    <t>0175-7360941</t>
  </si>
  <si>
    <t>00001-63583456-0</t>
  </si>
  <si>
    <t>0175-7362309</t>
  </si>
  <si>
    <t>00001-63583457-8</t>
  </si>
  <si>
    <t>0175-7365226</t>
  </si>
  <si>
    <t>00001-63583458-6</t>
  </si>
  <si>
    <t>0175-7365801</t>
  </si>
  <si>
    <t>00001-63583459-4</t>
  </si>
  <si>
    <t>0175-7368808</t>
  </si>
  <si>
    <t>00001-63583460-2</t>
  </si>
  <si>
    <t>0175-7387551</t>
  </si>
  <si>
    <t>00001-63583461-0</t>
  </si>
  <si>
    <t>0175-7388467</t>
  </si>
  <si>
    <t>00001-63583462-8</t>
  </si>
  <si>
    <t>0175-7392419</t>
  </si>
  <si>
    <t>00001-63583463-6</t>
  </si>
  <si>
    <t>0175-9009710</t>
  </si>
  <si>
    <t xml:space="preserve">	00001-63583464-4</t>
  </si>
  <si>
    <t>0175-9012200</t>
  </si>
  <si>
    <t>00001-63583465-1</t>
  </si>
  <si>
    <t>0176-34316593</t>
  </si>
  <si>
    <t>00001-62660116-8</t>
  </si>
  <si>
    <t>0176-34319589</t>
  </si>
  <si>
    <t>00001-62660117-6</t>
  </si>
  <si>
    <t>0176-34372893</t>
  </si>
  <si>
    <t>00001-62662120-8</t>
  </si>
  <si>
    <t>0176-45989519</t>
  </si>
  <si>
    <t>00001-62662477-2</t>
  </si>
  <si>
    <t>0176-45989521</t>
  </si>
  <si>
    <t>00001-62662475-6</t>
  </si>
  <si>
    <t>0176-45989542</t>
  </si>
  <si>
    <t>00001-62662476-4</t>
  </si>
  <si>
    <t>0176-47117018</t>
  </si>
  <si>
    <t>00001-63593362-8</t>
  </si>
  <si>
    <t>0176-56788683</t>
  </si>
  <si>
    <t>00001-63593442-8</t>
  </si>
  <si>
    <t>0176-57868667</t>
  </si>
  <si>
    <t>00001-62662032-5</t>
  </si>
  <si>
    <t>0176-71211976</t>
  </si>
  <si>
    <t>00001-62660003-8</t>
  </si>
  <si>
    <t>0151-16726447</t>
  </si>
  <si>
    <t>00001-64459175-5</t>
  </si>
  <si>
    <t>0151-18954341</t>
  </si>
  <si>
    <t>00001-64459176-3</t>
  </si>
  <si>
    <t>0151-18956409</t>
  </si>
  <si>
    <t>00001-64459177-1</t>
  </si>
  <si>
    <t>0151-18991257</t>
  </si>
  <si>
    <t>00001-64459187-9</t>
  </si>
  <si>
    <t>0151-18992815</t>
  </si>
  <si>
    <t>00001-64459179-7</t>
  </si>
  <si>
    <t>0170-2212909</t>
  </si>
  <si>
    <t>00001-64462476-2</t>
  </si>
  <si>
    <t>0151-16739957</t>
  </si>
  <si>
    <t>00001-64825065-5</t>
  </si>
  <si>
    <t>0151-67962659</t>
  </si>
  <si>
    <t>00001-66317441-8</t>
  </si>
  <si>
    <t>0151-55231475</t>
  </si>
  <si>
    <t>00001-64836897-8</t>
  </si>
  <si>
    <t>0176-43242079</t>
  </si>
  <si>
    <t>00001-64903527-9</t>
  </si>
  <si>
    <t>Samsung Galaxy A53 5G 128GB Blau</t>
  </si>
  <si>
    <t>0160-92336095</t>
  </si>
  <si>
    <t>00001-70010149-9</t>
  </si>
  <si>
    <t>0151-17246172</t>
  </si>
  <si>
    <t>00001-82611594-4</t>
  </si>
  <si>
    <t xml:space="preserve">Samsung Galaxy A54 5G 256GB Awesome Graphite    </t>
  </si>
  <si>
    <t>0151-18912809</t>
  </si>
  <si>
    <t>00001-66231147-4</t>
  </si>
  <si>
    <t>0179-4182427</t>
  </si>
  <si>
    <t>I0512586</t>
  </si>
  <si>
    <t>Drillisch</t>
  </si>
  <si>
    <t>Samsung Galaxy A53 5G 256GB Schwarz</t>
  </si>
  <si>
    <t>0175-9078610</t>
  </si>
  <si>
    <t>00001-69257835-7</t>
  </si>
  <si>
    <t>0175-6302350</t>
  </si>
  <si>
    <t>00001-69257837-3</t>
  </si>
  <si>
    <t>Samsung Galaxy A34 5G 128GB Awesome Graphite</t>
  </si>
  <si>
    <t>0160-5599705</t>
  </si>
  <si>
    <t>00001-69257839-9</t>
  </si>
  <si>
    <t>0160-97569583</t>
  </si>
  <si>
    <t>00001-78833193-5</t>
  </si>
  <si>
    <t>BMMSH3</t>
  </si>
  <si>
    <t>Samsung Galaxy A54 5G 128GB Awesome Graphite</t>
  </si>
  <si>
    <t>0160-97569133</t>
  </si>
  <si>
    <t>00001-78833192-7</t>
  </si>
  <si>
    <t>0160-97236581</t>
  </si>
  <si>
    <t>00001-78833191-9</t>
  </si>
  <si>
    <t>0151-18998866</t>
  </si>
  <si>
    <t>00001-64459180-5</t>
  </si>
  <si>
    <t>0151-46169100</t>
  </si>
  <si>
    <t>00001-64459181-3</t>
  </si>
  <si>
    <t>0151-46170243</t>
  </si>
  <si>
    <t>00001-64459182-1</t>
  </si>
  <si>
    <t>0151-46171785</t>
  </si>
  <si>
    <t>00001-64459183-9</t>
  </si>
  <si>
    <t>0151-46172495</t>
  </si>
  <si>
    <t>00001-64459184-7</t>
  </si>
  <si>
    <t>0151-46176612</t>
  </si>
  <si>
    <t>00001-64459185-4</t>
  </si>
  <si>
    <t>0151-46177094</t>
  </si>
  <si>
    <t>00001-64459186-2</t>
  </si>
  <si>
    <t>0151-46178308</t>
  </si>
  <si>
    <t>00001-64459187-0</t>
  </si>
  <si>
    <t>0151-46189503</t>
  </si>
  <si>
    <t>00001-64459188-8</t>
  </si>
  <si>
    <t>0151-46191993</t>
  </si>
  <si>
    <t>00001-64459189-6</t>
  </si>
  <si>
    <t>0160-7863486</t>
  </si>
  <si>
    <t>00001-70010140-8</t>
  </si>
  <si>
    <t>0160-7863487</t>
  </si>
  <si>
    <t>00001-70010141-6</t>
  </si>
  <si>
    <t>0160-7863488</t>
  </si>
  <si>
    <t>00001-70010142-4</t>
  </si>
  <si>
    <t>0160-7863489</t>
  </si>
  <si>
    <t>00001-70010143-2</t>
  </si>
  <si>
    <t>0160-7863490</t>
  </si>
  <si>
    <t>00001-70010144-0</t>
  </si>
  <si>
    <t>SIM-Nr</t>
  </si>
  <si>
    <t>Kundenkonto</t>
  </si>
  <si>
    <t>Kunden-Nr</t>
  </si>
  <si>
    <t>RV</t>
  </si>
  <si>
    <t>Künd.</t>
  </si>
  <si>
    <t>X</t>
  </si>
  <si>
    <t>Vertragsende</t>
  </si>
  <si>
    <t>VVL</t>
  </si>
  <si>
    <t>WV</t>
  </si>
  <si>
    <t>Nutzer</t>
  </si>
  <si>
    <t>Kost</t>
  </si>
  <si>
    <t>RG Form</t>
  </si>
  <si>
    <t>O</t>
  </si>
  <si>
    <t>Aktiviert</t>
  </si>
  <si>
    <t>Tarif aktuell</t>
  </si>
  <si>
    <t>Tarif neu</t>
  </si>
  <si>
    <t>Handy</t>
  </si>
  <si>
    <t>Gutschrift</t>
  </si>
  <si>
    <t>RG-Nummer</t>
  </si>
  <si>
    <t>Provision</t>
  </si>
  <si>
    <t>Vertrag</t>
  </si>
  <si>
    <t>Aktuell</t>
  </si>
  <si>
    <t>Vertragseingabe</t>
  </si>
  <si>
    <t>Verträge von</t>
  </si>
  <si>
    <t>Vorlauf</t>
  </si>
  <si>
    <t>Test VVL</t>
  </si>
  <si>
    <t>Test WV</t>
  </si>
  <si>
    <t>TM</t>
  </si>
  <si>
    <t>iPhone 15 256GB Schwarz</t>
  </si>
  <si>
    <t>00001-69257808-4</t>
  </si>
  <si>
    <t>00001-82624290-4</t>
  </si>
  <si>
    <t>00001-82624264-9</t>
  </si>
  <si>
    <t>00001-63583464-4</t>
  </si>
  <si>
    <t>CF1+</t>
  </si>
  <si>
    <t>Samsung Galaxy A34 5G 128GB Awesome Graphit EE EU</t>
  </si>
  <si>
    <t>0065542707</t>
  </si>
  <si>
    <t>TM327</t>
  </si>
  <si>
    <t>BMMH3</t>
  </si>
  <si>
    <t>Samsung Galaxy Tab Active 5 5G EE</t>
  </si>
  <si>
    <t>00001-86516806-9</t>
  </si>
  <si>
    <t>Samsung Galaxy Tab S9 FE 5G EE</t>
  </si>
  <si>
    <t xml:space="preserve">iPhone 14 128 GB Mitternacht </t>
  </si>
  <si>
    <t>Samsung Galaxy A55 5G 128GB Awesome Navy EU</t>
  </si>
  <si>
    <t>BMLH3</t>
  </si>
  <si>
    <t>00001-88829833-1</t>
  </si>
  <si>
    <t>Samsung Galaxy XCover 7 EE 128GB Schwarz</t>
  </si>
  <si>
    <t>0151-41385527</t>
  </si>
  <si>
    <t>00001-81614931-7</t>
  </si>
  <si>
    <t>Samsung Galaxy A54 128GB Graphite</t>
  </si>
  <si>
    <t>0151-66464038</t>
  </si>
  <si>
    <t>00001-96963933-8</t>
  </si>
  <si>
    <t>iPhone 15 Pro 512GB Titan  Natur</t>
  </si>
  <si>
    <t>0151-24507311</t>
  </si>
  <si>
    <t>00001-96965076-4</t>
  </si>
  <si>
    <t>Samsung Galaxy A55 5G 128GB Awesome Navy</t>
  </si>
  <si>
    <t>0176-44424101</t>
  </si>
  <si>
    <t>I0541953</t>
  </si>
  <si>
    <t>VictorVox</t>
  </si>
  <si>
    <t>Option 1</t>
  </si>
  <si>
    <t>BMMS5</t>
  </si>
  <si>
    <t>00001-84783936-5</t>
  </si>
  <si>
    <t>BMLS5</t>
  </si>
  <si>
    <t>00001-98903352-0</t>
  </si>
  <si>
    <t>00001-97802699-8</t>
  </si>
  <si>
    <t>00002-00118676-7</t>
  </si>
  <si>
    <t>00002-10026603-1</t>
  </si>
  <si>
    <t>00001-55156193-2</t>
  </si>
  <si>
    <t>Vorteile</t>
  </si>
  <si>
    <t>klare Strukturierung</t>
  </si>
  <si>
    <t>Man kann nur in den blauen Felder etwas eingeben</t>
  </si>
  <si>
    <t>Formate von Zellen können nicht geändert werden</t>
  </si>
  <si>
    <t>es gibt keine verbunden Zellen mehr, die man nicht vernünftig kopieren kann</t>
  </si>
  <si>
    <t>Checkbox beim Ansprechpartner macht jemanden zum "Hauptansprechpartner"</t>
  </si>
  <si>
    <t>Vorteile der nächsten Seiten:</t>
  </si>
  <si>
    <t>Ja wurde ersetzt durch "X"; eine leere Zelle bedeutet "Nein"</t>
  </si>
  <si>
    <t>Vorlauf: berechnet anhand des Anbieters, ob VVL-Datum 6 Monate oder 1 Monat vor Vertragsende liegt</t>
  </si>
  <si>
    <t>VVL Datum</t>
  </si>
  <si>
    <t>WV Datum</t>
  </si>
  <si>
    <t>VVL: automatisch berechnet aus Vertragsende und Vorlauf</t>
  </si>
  <si>
    <t>WV: automatisch berechnet aus Vertragsende und Vorlauf</t>
  </si>
  <si>
    <t>Notizen befinden sich auf der Hauptseite, die letzte Seite entfällt</t>
  </si>
  <si>
    <t>Die Spalten VVL-Datum und WV-Datum werden nicht mehr gebraucht, dafür gibt es 3 neue Felder:</t>
  </si>
  <si>
    <t>Die neuen Spalten befinden sich testweise erstmal ganz rechts</t>
  </si>
  <si>
    <t>Kundennummer</t>
  </si>
  <si>
    <t>neues Feld "Kundennummer", das ist die Debitor-Nummer für die Buchhaltung</t>
  </si>
  <si>
    <t>Ich halte es für möglich, die WV-Liste automatisiert zu erstellen, aber das ist eher ein entfernteres Ziel</t>
  </si>
  <si>
    <t>Dies ist nur ein Test, die Daten stammen von der Karteikarte von Friedrich von Lien</t>
  </si>
  <si>
    <t>die erste Spalte "Nr." wird automatisch numeriert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</si>
</sst>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2" x14ac:knownFonts="1">
    <font>
      <sz val="11"/>
      <color theme="1"/>
      <name val="Aptos Display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Display"/>
      <family val="2"/>
    </font>
    <font>
      <b/>
      <sz val="12"/>
      <color theme="6"/>
      <name val="Aptos Display"/>
      <family val="2"/>
    </font>
    <font>
      <b/>
      <sz val="11"/>
      <color theme="6"/>
      <name val="Aptos Display"/>
      <family val="2"/>
    </font>
    <font>
      <sz val="10"/>
      <color theme="6"/>
      <name val="Aptos Display"/>
      <family val="2"/>
    </font>
    <font>
      <sz val="8"/>
      <name val="Aptos Display"/>
      <family val="2"/>
    </font>
    <font>
      <b/>
      <sz val="16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F6FB"/>
        <bgColor indexed="64"/>
      </patternFill>
    </fill>
    <fill>
      <patternFill patternType="solid">
        <fgColor rgb="FFF3FFF3"/>
        <bgColor indexed="64"/>
      </patternFill>
    </fill>
    <fill>
      <patternFill patternType="solid">
        <fgColor rgb="FFFFFFEB"/>
        <bgColor indexed="64"/>
      </patternFill>
    </fill>
  </fills>
  <borders count="11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indexed="64"/>
      </left>
      <right/>
      <top style="thin">
        <color theme="6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3" fillId="4" borderId="1" xfId="0" applyNumberFormat="1" applyFont="1" applyFill="1" applyBorder="1" applyAlignment="1" applyProtection="1">
      <alignment horizontal="left" vertical="top"/>
      <protection locked="0"/>
    </xf>
    <xf numFmtId="49" fontId="1" fillId="4" borderId="1" xfId="0" applyNumberFormat="1" applyFont="1" applyFill="1" applyBorder="1" applyAlignment="1" applyProtection="1">
      <alignment horizontal="left" vertical="top"/>
      <protection locked="0"/>
    </xf>
    <xf numFmtId="14" fontId="1" fillId="4" borderId="1" xfId="0" applyNumberFormat="1" applyFont="1" applyFill="1" applyBorder="1" applyAlignment="1" applyProtection="1">
      <alignment horizontal="left" vertical="top"/>
      <protection locked="0"/>
    </xf>
    <xf numFmtId="1" fontId="1" fillId="4" borderId="1" xfId="0" applyNumberFormat="1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49" fontId="1" fillId="4" borderId="1" xfId="0" applyNumberFormat="1" applyFont="1" applyFill="1" applyBorder="1" applyAlignment="1" applyProtection="1">
      <alignment vertical="top"/>
      <protection locked="0"/>
    </xf>
    <xf numFmtId="49" fontId="1" fillId="4" borderId="1" xfId="0" applyNumberFormat="1" applyFont="1" applyFill="1" applyBorder="1" applyAlignment="1" applyProtection="1">
      <alignment horizontal="center" vertical="top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Continuous" vertical="top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49" fontId="6" fillId="0" borderId="0" xfId="0" applyNumberFormat="1" applyFont="1" applyAlignment="1">
      <alignment horizontal="center" vertical="top"/>
    </xf>
    <xf numFmtId="49" fontId="6" fillId="5" borderId="0" xfId="0" applyNumberFormat="1" applyFont="1" applyFill="1" applyAlignment="1">
      <alignment horizontal="left" vertical="top"/>
    </xf>
    <xf numFmtId="4" fontId="6" fillId="5" borderId="0" xfId="0" applyNumberFormat="1" applyFont="1" applyFill="1" applyAlignment="1">
      <alignment horizontal="left" vertical="top"/>
    </xf>
    <xf numFmtId="4" fontId="6" fillId="5" borderId="0" xfId="0" applyNumberFormat="1" applyFont="1" applyFill="1" applyAlignment="1">
      <alignment horizontal="right" vertical="top"/>
    </xf>
    <xf numFmtId="49" fontId="6" fillId="6" borderId="0" xfId="0" applyNumberFormat="1" applyFont="1" applyFill="1" applyAlignment="1">
      <alignment horizontal="left" vertical="top"/>
    </xf>
    <xf numFmtId="0" fontId="8" fillId="3" borderId="0" xfId="0" applyFont="1" applyFill="1" applyAlignment="1">
      <alignment horizontal="centerContinuous" vertical="center"/>
    </xf>
    <xf numFmtId="0" fontId="9" fillId="0" borderId="0" xfId="0" applyFont="1" applyAlignment="1">
      <alignment horizontal="left" vertical="top"/>
    </xf>
    <xf numFmtId="0" fontId="8" fillId="3" borderId="10" xfId="0" applyFont="1" applyFill="1" applyBorder="1" applyAlignment="1">
      <alignment horizontal="centerContinuous" vertical="center"/>
    </xf>
    <xf numFmtId="0" fontId="8" fillId="3" borderId="3" xfId="0" applyFont="1" applyFill="1" applyBorder="1" applyAlignment="1">
      <alignment horizontal="centerContinuous" vertical="center"/>
    </xf>
    <xf numFmtId="0" fontId="8" fillId="3" borderId="4" xfId="0" applyFont="1" applyFill="1" applyBorder="1" applyAlignment="1">
      <alignment horizontal="centerContinuous" vertical="center"/>
    </xf>
    <xf numFmtId="0" fontId="7" fillId="4" borderId="8" xfId="0" applyFont="1" applyFill="1" applyBorder="1" applyAlignment="1">
      <alignment horizontal="left" vertical="center" indent="1"/>
    </xf>
    <xf numFmtId="0" fontId="7" fillId="4" borderId="8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" fontId="6" fillId="5" borderId="0" xfId="0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left" vertical="top"/>
    </xf>
    <xf numFmtId="164" fontId="6" fillId="5" borderId="0" xfId="0" applyNumberFormat="1" applyFont="1" applyFill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1" fontId="6" fillId="3" borderId="0" xfId="0" applyNumberFormat="1" applyFont="1" applyFill="1" applyAlignment="1">
      <alignment horizontal="left" vertical="top"/>
    </xf>
    <xf numFmtId="1" fontId="6" fillId="3" borderId="0" xfId="0" applyNumberFormat="1" applyFont="1" applyFill="1" applyAlignment="1">
      <alignment horizontal="center" vertical="top"/>
    </xf>
    <xf numFmtId="164" fontId="6" fillId="3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1" fillId="4" borderId="2" xfId="0" applyFont="1" applyFill="1" applyBorder="1" applyAlignment="1" applyProtection="1">
      <alignment horizontal="left" vertical="top" wrapText="1"/>
      <protection locked="0"/>
    </xf>
    <xf numFmtId="0" fontId="1" fillId="4" borderId="3" xfId="0" applyFont="1" applyFill="1" applyBorder="1" applyAlignment="1" applyProtection="1">
      <alignment horizontal="left" vertical="top" wrapText="1"/>
      <protection locked="0"/>
    </xf>
    <xf numFmtId="0" fontId="1" fillId="4" borderId="4" xfId="0" applyFont="1" applyFill="1" applyBorder="1" applyAlignment="1" applyProtection="1">
      <alignment horizontal="left" vertical="top" wrapText="1"/>
      <protection locked="0"/>
    </xf>
    <xf numFmtId="0" fontId="1" fillId="4" borderId="5" xfId="0" applyFont="1" applyFill="1" applyBorder="1" applyAlignment="1" applyProtection="1">
      <alignment horizontal="left" vertical="top" wrapText="1"/>
      <protection locked="0"/>
    </xf>
    <xf numFmtId="0" fontId="1" fillId="4" borderId="0" xfId="0" applyFont="1" applyFill="1" applyAlignment="1" applyProtection="1">
      <alignment horizontal="left" vertical="top" wrapText="1"/>
      <protection locked="0"/>
    </xf>
    <xf numFmtId="0" fontId="1" fillId="4" borderId="6" xfId="0" applyFont="1" applyFill="1" applyBorder="1" applyAlignment="1" applyProtection="1">
      <alignment horizontal="left" vertical="top" wrapText="1"/>
      <protection locked="0"/>
    </xf>
    <xf numFmtId="0" fontId="1" fillId="4" borderId="7" xfId="0" applyFont="1" applyFill="1" applyBorder="1" applyAlignment="1" applyProtection="1">
      <alignment horizontal="left" vertical="top" wrapText="1"/>
      <protection locked="0"/>
    </xf>
    <xf numFmtId="0" fontId="1" fillId="4" borderId="8" xfId="0" applyFont="1" applyFill="1" applyBorder="1" applyAlignment="1" applyProtection="1">
      <alignment horizontal="left" vertical="top" wrapText="1"/>
      <protection locked="0"/>
    </xf>
    <xf numFmtId="0" fontId="1" fillId="4" borderId="9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left" vertical="top"/>
    </xf>
    <xf numFmtId="0" fontId="11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indent="2"/>
    </xf>
    <xf numFmtId="0" fontId="3" fillId="0" borderId="0" xfId="0" applyFont="1" applyAlignment="1">
      <alignment vertical="top"/>
    </xf>
  </cellXfs>
  <cellStyles count="1">
    <cellStyle name="Standard" xfId="0" builtinId="0"/>
  </cellStyles>
  <dxfs count="157">
    <dxf>
      <font>
        <strike/>
      </font>
    </dxf>
    <dxf>
      <font>
        <strike/>
      </font>
    </dxf>
    <dxf>
      <font>
        <b/>
        <i val="0"/>
      </font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rgb="FFF3FFF3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4" formatCode="#,##0.00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fill>
        <patternFill patternType="solid">
          <fgColor indexed="64"/>
          <bgColor rgb="FFF3FFF3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rgb="FFFFFFEB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4" formatCode="dd/mm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DF6FB"/>
      <color rgb="FFFFFFEB"/>
      <color rgb="FFF3FFF3"/>
      <color rgb="FFE9FFE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CF717-A286-4CB3-9334-EDB5194BB3BD}" name="Tabelle1" displayName="Tabelle1" ref="A3:AB110" totalsRowShown="0" headerRowDxfId="125" dataDxfId="124">
  <autoFilter ref="A3:AB110" xr:uid="{55ECF717-A286-4CB3-9334-EDB5194BB3BD}"/>
  <tableColumns count="28">
    <tableColumn id="1" xr3:uid="{6F2E3A6B-82E8-4371-9DBA-43316C53EE7A}" name="Nr." dataDxfId="123">
      <calculatedColumnFormula>ROW()-3</calculatedColumnFormula>
    </tableColumn>
    <tableColumn id="2" xr3:uid="{1374F507-5AA0-4A5B-B965-2E44903B24C3}" name="Rufnummer" dataDxfId="122"/>
    <tableColumn id="3" xr3:uid="{F17321E0-B404-42BA-A23A-591C7CF134FD}" name="SIM-Nr" dataDxfId="121"/>
    <tableColumn id="4" xr3:uid="{C1E56345-8BC1-49D6-8A27-D253D77B41C0}" name="Kundenkonto" dataDxfId="120"/>
    <tableColumn id="5" xr3:uid="{E9AD10C1-4719-4204-9C79-1DDE8F37E6FD}" name="Kunden-Nr" dataDxfId="119"/>
    <tableColumn id="6" xr3:uid="{23D27228-1D21-4C8D-BDF4-732B8761B388}" name="RV" dataDxfId="118"/>
    <tableColumn id="7" xr3:uid="{5234EA88-81D2-49A8-9DBC-E370AAF0889A}" name="Künd." dataDxfId="117"/>
    <tableColumn id="8" xr3:uid="{83F71C1A-1761-4712-8120-8E92843A6F37}" name="Multi Ultra" dataDxfId="116"/>
    <tableColumn id="9" xr3:uid="{AB13B717-6E86-42F6-8CA7-BB0F95BE5BA8}" name="Vertragsende" dataDxfId="115"/>
    <tableColumn id="10" xr3:uid="{A041BCE1-657F-4487-BE69-9CCF0B874687}" name="VVL Datum" dataDxfId="114"/>
    <tableColumn id="11" xr3:uid="{602EDA75-F6EA-4D0E-9C53-12B17E6F0D1B}" name="WV Datum" dataDxfId="113"/>
    <tableColumn id="12" xr3:uid="{762BEABC-7B4A-4939-B03F-B36A0D2D12FE}" name="Nutzer" dataDxfId="112"/>
    <tableColumn id="13" xr3:uid="{3AFCE531-91A8-43D0-8975-1ED0B46C1CE8}" name="Kost" dataDxfId="111"/>
    <tableColumn id="14" xr3:uid="{4B2A57F7-8D09-4469-A52B-1253E1ED3FE2}" name="RG Form" dataDxfId="110"/>
    <tableColumn id="15" xr3:uid="{122899F3-BF80-4D01-B5AE-68E8DCC39DFE}" name="Anbieter" dataDxfId="109"/>
    <tableColumn id="16" xr3:uid="{D332CFC2-AA1E-4992-A448-4334CCB37068}" name="Tarif aktuell" dataDxfId="108"/>
    <tableColumn id="17" xr3:uid="{A50494E2-0F1F-4E85-8DB2-82808D2F2F7A}" name="Option " dataDxfId="107"/>
    <tableColumn id="18" xr3:uid="{D7FF3061-E6D4-4A67-AC49-8BD0CDA20800}" name="Option 2" dataDxfId="106"/>
    <tableColumn id="19" xr3:uid="{DE9E8CCB-254F-4DEA-989D-01F799DE094B}" name="Option 3" dataDxfId="105"/>
    <tableColumn id="21" xr3:uid="{4B00E50B-A966-44A3-B813-E6A339E03265}" name="Aktiviert" dataDxfId="104"/>
    <tableColumn id="22" xr3:uid="{5F1B9C0D-ABCB-4EBA-982E-F47F715F3B95}" name="Tarif neu" dataDxfId="103"/>
    <tableColumn id="23" xr3:uid="{F7DD3382-5EA3-4FAA-9EAF-35496AC4C1FC}" name="Handy" dataDxfId="102"/>
    <tableColumn id="26" xr3:uid="{BD263BD9-30D1-4DDB-8C87-DD13DD3DC880}" name="Gutschrift" dataDxfId="101"/>
    <tableColumn id="24" xr3:uid="{77344EDF-24B5-4352-A5B5-27A3935E9FDC}" name="RG-Nummer" dataDxfId="100"/>
    <tableColumn id="25" xr3:uid="{1BD23DDA-2BC1-496A-81D5-21D1B3ED5482}" name="Provision" dataDxfId="99"/>
    <tableColumn id="27" xr3:uid="{9AF241E9-0EEF-4EB9-AD80-CC7048FBB0E4}" name="Vorlauf" dataDxfId="98">
      <calculatedColumnFormula array="1">Vorlauf(Tabelle1[[#This Row],[Anbieter]])</calculatedColumnFormula>
    </tableColumn>
    <tableColumn id="28" xr3:uid="{7F0C6A1A-7D04-4440-8827-9E664D492244}" name="VVL" dataDxfId="97">
      <calculatedColumnFormula>IFERROR(EDATE(Tabelle1[[#This Row],[Vertragsende]], -Tabelle1[[#This Row],[Vorlauf]]) + 1, "")</calculatedColumnFormula>
    </tableColumn>
    <tableColumn id="29" xr3:uid="{CE0AD4C8-FDE5-4118-8590-88D448441050}" name="WV" dataDxfId="96">
      <calculatedColumnFormula>IFERROR(EDATE(Tabelle1[[#This Row],[Vertragsende]], -Tabelle1[[#This Row],[Vorlauf]] - 1) + 1, "")</calculatedColumnFormula>
    </tableColumn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A2F12-EE96-4471-B66F-118B37F972C3}" name="Tabelle13" displayName="Tabelle13" ref="A3:AC92" totalsRowShown="0" headerRowDxfId="95" dataDxfId="94">
  <autoFilter ref="A3:AC92" xr:uid="{55ECF717-A286-4CB3-9334-EDB5194BB3BD}"/>
  <tableColumns count="29">
    <tableColumn id="1" xr3:uid="{5A4F6A7C-62B9-415F-BC11-F6BCB80D5B99}" name="Nr." dataDxfId="93">
      <calculatedColumnFormula>ROW()-3</calculatedColumnFormula>
    </tableColumn>
    <tableColumn id="2" xr3:uid="{6535853E-47DC-4FD6-AC88-31A26F0C21F9}" name="Rufnummer" dataDxfId="92"/>
    <tableColumn id="3" xr3:uid="{02DF2A44-496E-4064-95EB-9E0A5535BE3E}" name="SIM-Nr" dataDxfId="91"/>
    <tableColumn id="4" xr3:uid="{BCF3EF85-4C9A-46FE-B239-E28357581DFD}" name="Kundenkonto" dataDxfId="90"/>
    <tableColumn id="5" xr3:uid="{AEF10066-0C5E-4905-8973-74842EA344BA}" name="Kunden-Nr" dataDxfId="89"/>
    <tableColumn id="6" xr3:uid="{B1EB389D-8387-45A9-A6A4-04A75EE4CE89}" name="RV" dataDxfId="88"/>
    <tableColumn id="7" xr3:uid="{A243B448-93FE-4BE8-8089-53F68CFF5959}" name="Künd." dataDxfId="87"/>
    <tableColumn id="8" xr3:uid="{A1471209-B394-4C06-A1B4-BAB4915BC23D}" name="Multi Ultra" dataDxfId="86"/>
    <tableColumn id="9" xr3:uid="{6B35A623-B351-46F8-BDD9-5F54DAB7483D}" name="Vertragsende" dataDxfId="85"/>
    <tableColumn id="10" xr3:uid="{9FBC42CB-C6DA-4E8D-BA79-0C335A2914B6}" name="VVL" dataDxfId="84"/>
    <tableColumn id="11" xr3:uid="{A487049F-57E6-4A04-A0A3-1F4A58057A88}" name="WV" dataDxfId="83"/>
    <tableColumn id="12" xr3:uid="{C6DC27F4-A31B-40DE-90D6-1C55E5761988}" name="Nutzer" dataDxfId="82"/>
    <tableColumn id="13" xr3:uid="{340362DD-A3CF-41DF-976F-90C8DD43991C}" name="Kost" dataDxfId="81"/>
    <tableColumn id="14" xr3:uid="{973C01E6-1560-42B3-9648-B096F50CFFD2}" name="RG Form" dataDxfId="80"/>
    <tableColumn id="15" xr3:uid="{DBE97400-1A75-4EF8-B109-511D195477BC}" name="Anbieter" dataDxfId="79"/>
    <tableColumn id="16" xr3:uid="{C9D72887-B3F2-461C-A083-36972CB5318E}" name="Tarif aktuell" dataDxfId="78"/>
    <tableColumn id="17" xr3:uid="{DF91DEA7-5737-46F2-9130-62C7CCEA2F20}" name="Option 1" dataDxfId="77"/>
    <tableColumn id="18" xr3:uid="{21E98134-E7A7-4045-9F0A-21B8E61FD321}" name="Option 2" dataDxfId="76"/>
    <tableColumn id="31" xr3:uid="{732982AE-1EB3-4B92-B130-56EB56F9D113}" name="Option 3" dataDxfId="75"/>
    <tableColumn id="19" xr3:uid="{F6564DF6-0E9F-424C-AC35-DE4318BCF712}" name="Option 4" dataDxfId="74"/>
    <tableColumn id="21" xr3:uid="{B8C90554-07AF-4764-ADE3-F5B36C6A7E5A}" name="Aktiviert" dataDxfId="73"/>
    <tableColumn id="22" xr3:uid="{AA526553-13C2-4186-B866-0D2DED9E0C87}" name="Tarif neu" dataDxfId="72"/>
    <tableColumn id="23" xr3:uid="{72B72F17-7EDC-4C02-B62E-14E5C7679ACE}" name="Handy" dataDxfId="71"/>
    <tableColumn id="26" xr3:uid="{BF02920E-844F-44F9-9850-ABC49BA60CDB}" name="Gutschrift" dataDxfId="70"/>
    <tableColumn id="24" xr3:uid="{C7015121-CC66-44EB-A6BF-4D8DB16FBBF9}" name="RG-Nummer" dataDxfId="69"/>
    <tableColumn id="25" xr3:uid="{FD250380-7557-4486-9900-6EE583409BA5}" name="Provision" dataDxfId="68"/>
    <tableColumn id="27" xr3:uid="{2F6420E3-E8C1-4685-9E50-41CCDB921AA9}" name="Vorlauf" dataDxfId="67">
      <calculatedColumnFormula array="1">Vorlauf(Tabelle13[[#This Row],[Anbieter]])</calculatedColumnFormula>
    </tableColumn>
    <tableColumn id="28" xr3:uid="{7B62B6A6-F412-45C5-924C-181563C35590}" name="Test VVL" dataDxfId="66">
      <calculatedColumnFormula>IFERROR(EDATE(Tabelle13[[#This Row],[Vertragsende]], -Tabelle13[[#This Row],[Vorlauf]]) + 1,"")</calculatedColumnFormula>
    </tableColumn>
    <tableColumn id="29" xr3:uid="{F5DBABE2-BB2C-4F57-AE5E-E5717C67356B}" name="Test WV" dataDxfId="65">
      <calculatedColumnFormula>IFERROR(EDATE(Tabelle13[[#This Row],[Vertragsende]], -Tabelle13[[#This Row],[Vorlauf]] - 1) + 1,"")</calculatedColumnFormula>
    </tableColumn>
  </tableColumns>
  <tableStyleInfo name="TableStyleLight11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B2BFFB-722D-403A-8381-66570384E453}" name="Tabelle134" displayName="Tabelle134" ref="A3:AC95" totalsRowShown="0" headerRowDxfId="64" dataDxfId="63">
  <autoFilter ref="A3:AC95" xr:uid="{55ECF717-A286-4CB3-9334-EDB5194BB3BD}"/>
  <tableColumns count="29">
    <tableColumn id="1" xr3:uid="{6C5AD787-E89D-44A8-A60D-6BA330767DF2}" name="Nr." dataDxfId="62">
      <calculatedColumnFormula>ROW()-3</calculatedColumnFormula>
    </tableColumn>
    <tableColumn id="2" xr3:uid="{D04D959C-E551-43BD-AB2A-45211BC1AC73}" name="Rufnummer" dataDxfId="61"/>
    <tableColumn id="3" xr3:uid="{070D317E-C3F6-425A-AF3C-522CC03B8CCF}" name="SIM-Nr" dataDxfId="60"/>
    <tableColumn id="4" xr3:uid="{392CD9FB-C2AD-477E-92D7-162E54509410}" name="Kundenkonto" dataDxfId="59"/>
    <tableColumn id="5" xr3:uid="{1BF7C1ED-97E4-4384-8C39-75108F9BDF4C}" name="Kunden-Nr" dataDxfId="58"/>
    <tableColumn id="6" xr3:uid="{FD73C4A7-6715-4610-848C-E125C7B61DBD}" name="RV" dataDxfId="57"/>
    <tableColumn id="7" xr3:uid="{369C0BE7-9263-48F6-B09B-BE87C760BCD3}" name="Künd." dataDxfId="56"/>
    <tableColumn id="8" xr3:uid="{FBF44107-42A0-4E17-A71E-E09D3778CE86}" name="Multi Ultra" dataDxfId="55"/>
    <tableColumn id="9" xr3:uid="{D3D62DB6-F724-4815-A75C-8D14DB2E182C}" name="Vertragsende" dataDxfId="54"/>
    <tableColumn id="10" xr3:uid="{AAD95B26-CD5D-4B0D-9547-B7647CBA53FC}" name="VVL" dataDxfId="53"/>
    <tableColumn id="11" xr3:uid="{5A5526C0-31B0-4DF5-916E-59BF4AFF8C04}" name="WV" dataDxfId="52"/>
    <tableColumn id="12" xr3:uid="{5E1A7DA0-D66C-4189-9F6B-4D63BCDE32C7}" name="Nutzer" dataDxfId="51"/>
    <tableColumn id="13" xr3:uid="{F46BCE29-ED23-438D-9135-7CBC5F6ABF32}" name="Kost" dataDxfId="50"/>
    <tableColumn id="14" xr3:uid="{A03C7322-5461-494A-A37C-76FDAAA45C7E}" name="RG Form" dataDxfId="49"/>
    <tableColumn id="15" xr3:uid="{F43020AB-9F3D-432A-BDD0-EB514B8ED417}" name="Anbieter" dataDxfId="48"/>
    <tableColumn id="16" xr3:uid="{2F85E4BC-C9DD-49EA-847A-637924B81986}" name="Tarif aktuell" dataDxfId="47"/>
    <tableColumn id="17" xr3:uid="{A030A451-61C1-4B00-8EF3-7C7E126C402F}" name="Option 1" dataDxfId="46"/>
    <tableColumn id="18" xr3:uid="{1D120134-C5A6-4D9E-AEBC-7034DBEB1869}" name="Option 2" dataDxfId="45"/>
    <tableColumn id="31" xr3:uid="{AE2E535A-59A2-4333-8800-72A28AE09B6F}" name="Option 3" dataDxfId="44"/>
    <tableColumn id="19" xr3:uid="{2E6D9F90-5D55-4A14-9317-49F6276AAAF5}" name="Option 4" dataDxfId="43"/>
    <tableColumn id="21" xr3:uid="{7C7A68CE-4C59-4CF1-9001-209075889ECD}" name="Aktiviert" dataDxfId="42"/>
    <tableColumn id="22" xr3:uid="{4548264F-675F-4A43-A828-B4418DB2BED1}" name="Tarif neu" dataDxfId="41"/>
    <tableColumn id="23" xr3:uid="{0698305C-69E7-447D-9B64-03B2A07938F6}" name="Handy" dataDxfId="40"/>
    <tableColumn id="26" xr3:uid="{5F09CF96-3CF0-4E33-A8E1-7B0654499E86}" name="Gutschrift" dataDxfId="39"/>
    <tableColumn id="24" xr3:uid="{3E812CC9-FDFF-4EA6-8D44-EA4EA8868513}" name="RG-Nummer" dataDxfId="38"/>
    <tableColumn id="25" xr3:uid="{76D49205-A0C0-4728-96CB-53FBEC79770F}" name="Provision" dataDxfId="37"/>
    <tableColumn id="27" xr3:uid="{9B51200F-7534-465F-A53E-79686BABBE46}" name="Vorlauf" dataDxfId="36">
      <calculatedColumnFormula array="1">Vorlauf(Tabelle134[[#This Row],[Anbieter]])</calculatedColumnFormula>
    </tableColumn>
    <tableColumn id="28" xr3:uid="{F2CD97D9-3416-4D17-B11B-9523DA419E54}" name="Test VVL" dataDxfId="35">
      <calculatedColumnFormula>IFERROR(EDATE(Tabelle134[[#This Row],[Vertragsende]], -Tabelle134[[#This Row],[Vorlauf]]) + 1, "")</calculatedColumnFormula>
    </tableColumn>
    <tableColumn id="29" xr3:uid="{8C533B6D-707A-4B23-AE58-79BC7BAC1E35}" name="Test WV" dataDxfId="34">
      <calculatedColumnFormula>IFERROR(EDATE(Tabelle134[[#This Row],[Vertragsende]], -Tabelle134[[#This Row],[Vorlauf]] - 1) + 1, "")</calculatedColumnFormula>
    </tableColumn>
  </tableColumns>
  <tableStyleInfo name="TableStyleLight11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7B95BF-D28B-4F38-A7E0-6FEAC7289EAD}" name="Tabelle1345" displayName="Tabelle1345" ref="A3:AC51" totalsRowShown="0" headerRowDxfId="33" dataDxfId="32">
  <autoFilter ref="A3:AC51" xr:uid="{55ECF717-A286-4CB3-9334-EDB5194BB3BD}"/>
  <tableColumns count="29">
    <tableColumn id="1" xr3:uid="{647E2E7E-238D-4271-A409-9BFF3D912C3A}" name="Nr." dataDxfId="31">
      <calculatedColumnFormula>ROW()-3</calculatedColumnFormula>
    </tableColumn>
    <tableColumn id="2" xr3:uid="{C511B799-0DAB-452C-B818-771FD87CD388}" name="Rufnummer" dataDxfId="30"/>
    <tableColumn id="3" xr3:uid="{0FF4F891-68EA-40BC-B827-A65441DD2BE1}" name="SIM-Nr" dataDxfId="29"/>
    <tableColumn id="4" xr3:uid="{3DAB5CF7-C6EE-4AEB-9255-2870D9F46613}" name="Kundenkonto" dataDxfId="28"/>
    <tableColumn id="5" xr3:uid="{947E7C73-8624-4BB8-9A6E-4AA475F9DC45}" name="Kunden-Nr" dataDxfId="27"/>
    <tableColumn id="6" xr3:uid="{CF6630D9-98FF-4E9A-93DD-7D7C159D4F1D}" name="RV" dataDxfId="26"/>
    <tableColumn id="7" xr3:uid="{24511706-0D85-4749-B8AF-E0985E992EB7}" name="Künd." dataDxfId="25"/>
    <tableColumn id="8" xr3:uid="{8D9EB6FE-4F8C-479A-A113-4DFE50284DFE}" name="Multi Ultra" dataDxfId="24"/>
    <tableColumn id="9" xr3:uid="{49E40630-E784-4E5B-8D45-556A2DE9BCDF}" name="Vertragsende" dataDxfId="23"/>
    <tableColumn id="10" xr3:uid="{252EF1CF-46D7-44F5-AE5A-84C63B1FF897}" name="VVL" dataDxfId="22"/>
    <tableColumn id="11" xr3:uid="{3B83C92B-FFC4-4F5C-A6BF-EF4BDE7B5110}" name="WV" dataDxfId="21"/>
    <tableColumn id="12" xr3:uid="{8127CFFE-06E5-40C0-846D-542398E2B773}" name="Nutzer" dataDxfId="20"/>
    <tableColumn id="13" xr3:uid="{F2FD07C7-CDD0-4422-84A7-6199FB575CAE}" name="Kost" dataDxfId="19"/>
    <tableColumn id="14" xr3:uid="{2D9E7BFA-4038-423A-AD68-FA6C43186E77}" name="RG Form" dataDxfId="18"/>
    <tableColumn id="15" xr3:uid="{315D8153-7218-40A6-A967-209FDF5F9916}" name="Anbieter" dataDxfId="17"/>
    <tableColumn id="16" xr3:uid="{2087304B-0628-4D8C-88DE-F0BB3353C9A5}" name="Tarif aktuell" dataDxfId="16"/>
    <tableColumn id="17" xr3:uid="{B2106451-8BBE-4393-8F4E-9B145F4E96E2}" name="Option 1" dataDxfId="15"/>
    <tableColumn id="18" xr3:uid="{600AB90B-2FDA-4FD9-8F8D-13496061F863}" name="Option 2" dataDxfId="14"/>
    <tableColumn id="31" xr3:uid="{9D9BB06E-1381-467E-92DE-24A92294B643}" name="Option 3" dataDxfId="13"/>
    <tableColumn id="19" xr3:uid="{8203AA6A-C1A4-4CC1-BF15-A1F39FB84BF2}" name="Option 4" dataDxfId="12"/>
    <tableColumn id="21" xr3:uid="{26387149-137A-405A-A122-5BAFA7FC8CAB}" name="Aktiviert" dataDxfId="11"/>
    <tableColumn id="22" xr3:uid="{D2A4810F-4320-464E-BB0C-B0F0AC08A77C}" name="Tarif neu" dataDxfId="10"/>
    <tableColumn id="23" xr3:uid="{2C853DC3-EDC3-43EE-BA5B-592943CDD364}" name="Handy" dataDxfId="9"/>
    <tableColumn id="26" xr3:uid="{6D5F5C7F-4CF8-487E-9EB3-85E616C41D20}" name="Gutschrift" dataDxfId="8"/>
    <tableColumn id="24" xr3:uid="{3D81AC67-6794-462A-A307-C7F516DD2631}" name="RG-Nummer" dataDxfId="7"/>
    <tableColumn id="25" xr3:uid="{9584CAAE-D236-405F-AA7C-21935CB06494}" name="Provision" dataDxfId="6"/>
    <tableColumn id="27" xr3:uid="{029330D5-C21A-4C1A-8972-26871BE4D27A}" name="Vorlauf" dataDxfId="5">
      <calculatedColumnFormula array="1">Vorlauf(Tabelle1345[[#This Row],[Anbieter]])</calculatedColumnFormula>
    </tableColumn>
    <tableColumn id="28" xr3:uid="{FEF40F72-08A6-4579-B3CA-4F96883A7138}" name="Test VVL" dataDxfId="4">
      <calculatedColumnFormula>EDATE(Tabelle1345[[#This Row],[Vertragsende]], -Tabelle1345[[#This Row],[Vorlauf]]) + 1</calculatedColumnFormula>
    </tableColumn>
    <tableColumn id="29" xr3:uid="{5916184A-BC23-441B-855B-B48FDAB77415}" name="Test WV" dataDxfId="3">
      <calculatedColumnFormula>EDATE(Tabelle1345[[#This Row],[Vertragsende]], -Tabelle1345[[#This Row],[Vorlauf]] - 1) + 1</calculatedColumnFormula>
    </tableColumn>
  </tableColumns>
  <tableStyleInfo name="TableStyleLight11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09A44C-EBEA-4408-862F-2DFEE1307D42}" name="Tabelle13456" displayName="Tabelle13456" ref="A3:AC4" totalsRowShown="0" headerRowDxfId="156" dataDxfId="155">
  <autoFilter ref="A3:AC4" xr:uid="{55ECF717-A286-4CB3-9334-EDB5194BB3BD}"/>
  <tableColumns count="29">
    <tableColumn id="1" xr3:uid="{B7DD8785-974E-4853-B832-CE07D9AF9721}" name="Nr." dataDxfId="154">
      <calculatedColumnFormula>ROW()-3</calculatedColumnFormula>
    </tableColumn>
    <tableColumn id="2" xr3:uid="{A2B25457-C940-4BA7-85C3-8F63F8F49F5B}" name="Rufnummer" dataDxfId="153"/>
    <tableColumn id="3" xr3:uid="{485B46B7-E4AD-4236-A5C3-36A5BC10E889}" name="SIM-Nr" dataDxfId="152"/>
    <tableColumn id="4" xr3:uid="{4E97D93C-4082-48A1-9467-09E1AE1A3170}" name="Kundenkonto" dataDxfId="151"/>
    <tableColumn id="5" xr3:uid="{6C684A43-7A30-4692-A34F-78EF2710A986}" name="Kunden-Nr" dataDxfId="150"/>
    <tableColumn id="6" xr3:uid="{D5C6B6DC-6BD3-4BD9-940F-0AF5A2E3AF9B}" name="RV" dataDxfId="149"/>
    <tableColumn id="7" xr3:uid="{E1DC73D5-691A-4D61-9472-790AF5C43ECF}" name="Künd." dataDxfId="148"/>
    <tableColumn id="8" xr3:uid="{FF46FF1F-9BD5-4135-B4D8-F3E7F50D0004}" name="Multi Ultra" dataDxfId="147"/>
    <tableColumn id="9" xr3:uid="{5421A290-ECFD-4450-9CA6-7D7CEC326223}" name="Vertragsende" dataDxfId="146"/>
    <tableColumn id="10" xr3:uid="{8D11E088-3CE9-4524-BD20-C7C35A63B2F9}" name="VVL" dataDxfId="145"/>
    <tableColumn id="11" xr3:uid="{56FF45D8-2AE3-41D2-8EE2-2B461D235393}" name="WV" dataDxfId="144"/>
    <tableColumn id="12" xr3:uid="{C0C7AAEA-73DF-4C5D-AE8E-2E4EDD313DB9}" name="Nutzer" dataDxfId="143"/>
    <tableColumn id="13" xr3:uid="{8B5B1F58-B4FB-44C6-8083-C4601902C3F0}" name="Kost" dataDxfId="142"/>
    <tableColumn id="14" xr3:uid="{A331295E-C043-40D4-83CD-01D80E79A29D}" name="RG Form" dataDxfId="141"/>
    <tableColumn id="15" xr3:uid="{018DC07E-002B-4982-AACF-E1FDBD60E79C}" name="Anbieter" dataDxfId="140"/>
    <tableColumn id="16" xr3:uid="{38F84ABE-ACA3-41E6-A822-E4D9C640F680}" name="Tarif aktuell" dataDxfId="139"/>
    <tableColumn id="17" xr3:uid="{3020519B-6778-4F1C-9FC8-8457D94952FC}" name="Option 1" dataDxfId="138"/>
    <tableColumn id="18" xr3:uid="{448F40DB-9C57-412B-9A39-A25B9873E7B7}" name="Option 2" dataDxfId="137"/>
    <tableColumn id="31" xr3:uid="{FCCE37F1-7B9F-460D-9C34-8EA41876BBFF}" name="Option 3" dataDxfId="136"/>
    <tableColumn id="19" xr3:uid="{9C407F6A-F2DF-4AFE-9956-10A47B26D3A2}" name="Option 4" dataDxfId="135"/>
    <tableColumn id="21" xr3:uid="{D5270F4D-2E43-4217-AD94-032D8F39E6C5}" name="Aktiviert" dataDxfId="134"/>
    <tableColumn id="22" xr3:uid="{EA7D0E76-3B82-4F67-8C31-A8F2EFBF81A7}" name="Tarif neu" dataDxfId="133"/>
    <tableColumn id="23" xr3:uid="{6598097A-57FA-416A-928B-B13669803517}" name="Handy" dataDxfId="132"/>
    <tableColumn id="26" xr3:uid="{C9412BE1-F5C5-4C0D-94B3-DD4ADE53EA7B}" name="Gutschrift" dataDxfId="131"/>
    <tableColumn id="24" xr3:uid="{B41B52A7-F140-4050-91ED-9F08D4458F21}" name="RG-Nummer" dataDxfId="130"/>
    <tableColumn id="25" xr3:uid="{168300E3-11E3-4D5A-9F4B-A97C48F41BC4}" name="Provision" dataDxfId="129"/>
    <tableColumn id="27" xr3:uid="{C97C1B7D-96FB-40A0-9FE3-C8AE8CC62883}" name="Vorlauf" dataDxfId="128">
      <calculatedColumnFormula array="1">Vorlauf(Tabelle13456[[#This Row],[Anbieter]])</calculatedColumnFormula>
    </tableColumn>
    <tableColumn id="28" xr3:uid="{0B0922B3-94D8-4799-A462-53D83437687B}" name="Test VVL" dataDxfId="127">
      <calculatedColumnFormula>IFERROR(EDATE(Tabelle13456[[#This Row],[Vertragsende]], -Tabelle13456[[#This Row],[Vorlauf]]) + 1, "")</calculatedColumnFormula>
    </tableColumn>
    <tableColumn id="29" xr3:uid="{350C5D3C-BF12-447A-A172-D22A220D1382}" name="Test WV" dataDxfId="126">
      <calculatedColumnFormula>IFERROR(EDATE(Tabelle13456[[#This Row],[Vertragsende]], -Tabelle13456[[#This Row],[Vorlauf]] - 1) + 1, "")</calculatedColumnFormula>
    </tableColumn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Office">
  <a:themeElements>
    <a:clrScheme name="Ganymed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39E211-45DB-4627-B66B-3666D9EC6D43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81E1DB8B-6001-4178-905C-44DD32C6C998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BF30-32D5-41DD-B5F3-14A8E70655D4}">
  <dimension ref="A1:I40"/>
  <sheetViews>
    <sheetView showGridLines="0" tabSelected="1" workbookViewId="0">
      <selection activeCell="E33" sqref="E33"/>
    </sheetView>
  </sheetViews>
  <sheetFormatPr baseColWidth="10" defaultRowHeight="15" x14ac:dyDescent="0.25"/>
  <cols>
    <col min="1" max="1" width="16.125" style="11" customWidth="1"/>
    <col min="2" max="3" width="30.625" style="12" customWidth="1"/>
    <col min="4" max="4" width="16.375" style="11" customWidth="1"/>
    <col min="5" max="8" width="30.625" style="13" customWidth="1"/>
    <col min="9" max="16384" width="11" style="13"/>
  </cols>
  <sheetData>
    <row r="1" spans="1:9" s="8" customFormat="1" ht="24.75" customHeight="1" x14ac:dyDescent="0.25">
      <c r="A1" s="9" t="s">
        <v>53</v>
      </c>
      <c r="B1" s="10"/>
      <c r="C1" s="10"/>
      <c r="D1" s="10"/>
      <c r="E1" s="10"/>
      <c r="F1" s="10"/>
      <c r="G1" s="10"/>
      <c r="H1" s="10"/>
      <c r="I1" s="10"/>
    </row>
    <row r="2" spans="1:9" ht="7.5" customHeight="1" x14ac:dyDescent="0.25"/>
    <row r="3" spans="1:9" x14ac:dyDescent="0.25">
      <c r="B3" s="14" t="s">
        <v>0</v>
      </c>
      <c r="C3" s="14" t="s">
        <v>1</v>
      </c>
      <c r="E3" s="14" t="s">
        <v>21</v>
      </c>
      <c r="F3" s="14"/>
      <c r="G3" s="14"/>
      <c r="H3" s="14"/>
    </row>
    <row r="4" spans="1:9" x14ac:dyDescent="0.25">
      <c r="A4" s="11" t="s">
        <v>2</v>
      </c>
      <c r="B4" s="1" t="s">
        <v>33</v>
      </c>
      <c r="C4" s="2"/>
      <c r="D4" s="11" t="s">
        <v>14</v>
      </c>
      <c r="E4" s="2" t="s">
        <v>44</v>
      </c>
      <c r="F4" s="2" t="s">
        <v>49</v>
      </c>
      <c r="G4" s="2"/>
      <c r="H4" s="2"/>
    </row>
    <row r="5" spans="1:9" x14ac:dyDescent="0.25">
      <c r="B5" s="1"/>
      <c r="C5" s="2"/>
      <c r="D5" s="11" t="s">
        <v>15</v>
      </c>
      <c r="E5" s="2" t="s">
        <v>45</v>
      </c>
      <c r="F5" s="2" t="s">
        <v>50</v>
      </c>
      <c r="G5" s="2"/>
      <c r="H5" s="2"/>
    </row>
    <row r="6" spans="1:9" x14ac:dyDescent="0.25">
      <c r="A6" s="11" t="s">
        <v>3</v>
      </c>
      <c r="B6" s="2" t="s">
        <v>34</v>
      </c>
      <c r="C6" s="2"/>
      <c r="D6" s="11" t="s">
        <v>16</v>
      </c>
      <c r="E6" s="2" t="s">
        <v>46</v>
      </c>
      <c r="F6" s="2"/>
      <c r="G6" s="2"/>
      <c r="H6" s="2"/>
    </row>
    <row r="7" spans="1:9" x14ac:dyDescent="0.25">
      <c r="A7" s="11" t="s">
        <v>4</v>
      </c>
      <c r="B7" s="2" t="s">
        <v>35</v>
      </c>
      <c r="C7" s="2"/>
      <c r="D7" s="11" t="s">
        <v>20</v>
      </c>
      <c r="E7" s="2"/>
      <c r="F7" s="2"/>
      <c r="G7" s="2"/>
      <c r="H7" s="2"/>
    </row>
    <row r="8" spans="1:9" x14ac:dyDescent="0.25">
      <c r="A8" s="11" t="s">
        <v>17</v>
      </c>
      <c r="B8" s="5"/>
      <c r="D8" s="11" t="s">
        <v>17</v>
      </c>
      <c r="E8" s="2" t="s">
        <v>47</v>
      </c>
      <c r="F8" s="2"/>
      <c r="G8" s="2"/>
      <c r="H8" s="2"/>
    </row>
    <row r="9" spans="1:9" x14ac:dyDescent="0.25">
      <c r="A9" s="11" t="s">
        <v>54</v>
      </c>
      <c r="B9" s="5"/>
      <c r="D9" s="11" t="s">
        <v>18</v>
      </c>
      <c r="E9" s="2"/>
      <c r="F9" s="2"/>
      <c r="G9" s="2"/>
      <c r="H9" s="2"/>
    </row>
    <row r="10" spans="1:9" x14ac:dyDescent="0.25">
      <c r="D10" s="11" t="s">
        <v>54</v>
      </c>
      <c r="E10" s="6" t="s">
        <v>48</v>
      </c>
      <c r="F10" s="6" t="s">
        <v>51</v>
      </c>
      <c r="G10" s="2"/>
      <c r="H10" s="2"/>
    </row>
    <row r="11" spans="1:9" x14ac:dyDescent="0.25">
      <c r="B11" s="14" t="s">
        <v>11</v>
      </c>
      <c r="C11" s="14" t="s">
        <v>10</v>
      </c>
      <c r="D11" s="11" t="s">
        <v>19</v>
      </c>
      <c r="E11" s="2"/>
      <c r="F11" s="2"/>
      <c r="G11" s="2"/>
      <c r="H11" s="2"/>
    </row>
    <row r="12" spans="1:9" x14ac:dyDescent="0.25">
      <c r="A12" s="11" t="s">
        <v>6</v>
      </c>
      <c r="B12" s="2" t="s">
        <v>43</v>
      </c>
      <c r="C12" s="2"/>
      <c r="D12" s="11" t="s">
        <v>23</v>
      </c>
      <c r="E12" s="3"/>
      <c r="F12" s="3"/>
      <c r="G12" s="3"/>
      <c r="H12" s="3"/>
    </row>
    <row r="13" spans="1:9" x14ac:dyDescent="0.25">
      <c r="A13" s="11" t="s">
        <v>5</v>
      </c>
      <c r="B13" s="2" t="s">
        <v>41</v>
      </c>
      <c r="C13" s="2"/>
      <c r="D13" s="11" t="s">
        <v>52</v>
      </c>
      <c r="E13" s="7" t="b">
        <v>1</v>
      </c>
      <c r="F13" s="7" t="b">
        <v>0</v>
      </c>
      <c r="G13" s="7" t="b">
        <v>0</v>
      </c>
      <c r="H13" s="7" t="b">
        <v>0</v>
      </c>
    </row>
    <row r="14" spans="1:9" x14ac:dyDescent="0.25">
      <c r="A14" s="11" t="s">
        <v>7</v>
      </c>
      <c r="B14" s="2" t="s">
        <v>42</v>
      </c>
      <c r="C14" s="2"/>
      <c r="D14" s="11" t="s">
        <v>22</v>
      </c>
      <c r="E14" s="2"/>
      <c r="F14" s="2"/>
      <c r="G14" s="2"/>
      <c r="H14" s="2"/>
    </row>
    <row r="16" spans="1:9" x14ac:dyDescent="0.25">
      <c r="B16" s="14" t="s">
        <v>12</v>
      </c>
      <c r="C16" s="14" t="s">
        <v>13</v>
      </c>
      <c r="E16" s="38" t="s">
        <v>22</v>
      </c>
      <c r="F16" s="38"/>
      <c r="G16" s="38"/>
      <c r="H16" s="38"/>
    </row>
    <row r="17" spans="1:8" x14ac:dyDescent="0.25">
      <c r="A17" s="11" t="s">
        <v>8</v>
      </c>
      <c r="B17" s="2" t="s">
        <v>36</v>
      </c>
      <c r="C17" s="2"/>
      <c r="E17" s="39" t="s">
        <v>40</v>
      </c>
      <c r="F17" s="40"/>
      <c r="G17" s="40"/>
      <c r="H17" s="41"/>
    </row>
    <row r="18" spans="1:8" x14ac:dyDescent="0.25">
      <c r="A18" s="11" t="s">
        <v>9</v>
      </c>
      <c r="B18" s="2" t="s">
        <v>37</v>
      </c>
      <c r="C18" s="2"/>
      <c r="E18" s="42"/>
      <c r="F18" s="43"/>
      <c r="G18" s="43"/>
      <c r="H18" s="44"/>
    </row>
    <row r="19" spans="1:8" ht="15" customHeight="1" x14ac:dyDescent="0.25">
      <c r="E19" s="42"/>
      <c r="F19" s="43"/>
      <c r="G19" s="43"/>
      <c r="H19" s="44"/>
    </row>
    <row r="20" spans="1:8" x14ac:dyDescent="0.25">
      <c r="B20" s="14" t="s">
        <v>32</v>
      </c>
      <c r="E20" s="42"/>
      <c r="F20" s="43"/>
      <c r="G20" s="43"/>
      <c r="H20" s="44"/>
    </row>
    <row r="21" spans="1:8" x14ac:dyDescent="0.25">
      <c r="A21" s="11" t="s">
        <v>384</v>
      </c>
      <c r="B21" s="4"/>
      <c r="E21" s="42"/>
      <c r="F21" s="43"/>
      <c r="G21" s="43"/>
      <c r="H21" s="44"/>
    </row>
    <row r="22" spans="1:8" x14ac:dyDescent="0.25">
      <c r="A22" s="11" t="s">
        <v>27</v>
      </c>
      <c r="B22" s="3">
        <v>43850</v>
      </c>
      <c r="E22" s="42"/>
      <c r="F22" s="43"/>
      <c r="G22" s="43"/>
      <c r="H22" s="44"/>
    </row>
    <row r="23" spans="1:8" x14ac:dyDescent="0.25">
      <c r="A23" s="11" t="s">
        <v>31</v>
      </c>
      <c r="B23" s="3">
        <v>43861</v>
      </c>
      <c r="E23" s="42"/>
      <c r="F23" s="43"/>
      <c r="G23" s="43"/>
      <c r="H23" s="44"/>
    </row>
    <row r="24" spans="1:8" x14ac:dyDescent="0.25">
      <c r="A24" s="11" t="s">
        <v>25</v>
      </c>
      <c r="B24" s="3">
        <v>43910</v>
      </c>
      <c r="E24" s="42"/>
      <c r="F24" s="43"/>
      <c r="G24" s="43"/>
      <c r="H24" s="44"/>
    </row>
    <row r="25" spans="1:8" x14ac:dyDescent="0.25">
      <c r="A25" s="11" t="s">
        <v>24</v>
      </c>
      <c r="B25" s="4">
        <v>90</v>
      </c>
      <c r="E25" s="42"/>
      <c r="F25" s="43"/>
      <c r="G25" s="43"/>
      <c r="H25" s="44"/>
    </row>
    <row r="26" spans="1:8" x14ac:dyDescent="0.25">
      <c r="A26" s="11" t="s">
        <v>26</v>
      </c>
      <c r="B26" s="5" t="s">
        <v>38</v>
      </c>
      <c r="E26" s="42"/>
      <c r="F26" s="43"/>
      <c r="G26" s="43"/>
      <c r="H26" s="44"/>
    </row>
    <row r="27" spans="1:8" x14ac:dyDescent="0.25">
      <c r="A27" s="11" t="s">
        <v>28</v>
      </c>
      <c r="B27" s="5" t="s">
        <v>39</v>
      </c>
      <c r="E27" s="42"/>
      <c r="F27" s="43"/>
      <c r="G27" s="43"/>
      <c r="H27" s="44"/>
    </row>
    <row r="28" spans="1:8" x14ac:dyDescent="0.25">
      <c r="A28" s="11" t="s">
        <v>29</v>
      </c>
      <c r="B28" s="5" t="s">
        <v>30</v>
      </c>
      <c r="E28" s="45"/>
      <c r="F28" s="46"/>
      <c r="G28" s="46"/>
      <c r="H28" s="47"/>
    </row>
    <row r="30" spans="1:8" ht="21" x14ac:dyDescent="0.25">
      <c r="C30" s="49" t="s">
        <v>387</v>
      </c>
      <c r="D30" s="50"/>
    </row>
    <row r="32" spans="1:8" x14ac:dyDescent="0.25">
      <c r="B32" s="48" t="s">
        <v>368</v>
      </c>
      <c r="E32" s="53" t="s">
        <v>374</v>
      </c>
    </row>
    <row r="33" spans="2:5" x14ac:dyDescent="0.25">
      <c r="B33" s="51" t="s">
        <v>369</v>
      </c>
      <c r="E33" s="51" t="s">
        <v>388</v>
      </c>
    </row>
    <row r="34" spans="2:5" x14ac:dyDescent="0.25">
      <c r="B34" s="51" t="s">
        <v>370</v>
      </c>
      <c r="E34" s="51" t="s">
        <v>375</v>
      </c>
    </row>
    <row r="35" spans="2:5" x14ac:dyDescent="0.25">
      <c r="B35" s="51" t="s">
        <v>371</v>
      </c>
      <c r="E35" s="51" t="s">
        <v>382</v>
      </c>
    </row>
    <row r="36" spans="2:5" x14ac:dyDescent="0.25">
      <c r="B36" s="51" t="s">
        <v>372</v>
      </c>
      <c r="E36" s="52" t="s">
        <v>376</v>
      </c>
    </row>
    <row r="37" spans="2:5" x14ac:dyDescent="0.25">
      <c r="B37" s="51" t="s">
        <v>373</v>
      </c>
      <c r="E37" s="52" t="s">
        <v>379</v>
      </c>
    </row>
    <row r="38" spans="2:5" x14ac:dyDescent="0.25">
      <c r="B38" s="51" t="s">
        <v>381</v>
      </c>
      <c r="E38" s="52" t="s">
        <v>380</v>
      </c>
    </row>
    <row r="39" spans="2:5" x14ac:dyDescent="0.25">
      <c r="B39" s="51" t="s">
        <v>385</v>
      </c>
      <c r="E39" s="52" t="s">
        <v>383</v>
      </c>
    </row>
    <row r="40" spans="2:5" x14ac:dyDescent="0.25">
      <c r="E40" s="13" t="s">
        <v>386</v>
      </c>
    </row>
  </sheetData>
  <mergeCells count="2">
    <mergeCell ref="E16:H16"/>
    <mergeCell ref="E17:H28"/>
  </mergeCells>
  <conditionalFormatting sqref="E4:H10">
    <cfRule type="expression" dxfId="2" priority="1">
      <formula>E$13</formula>
    </cfRule>
  </conditionalFormatting>
  <dataValidations disablePrompts="1" count="2">
    <dataValidation type="list" allowBlank="1" showInputMessage="1" showErrorMessage="1" sqref="E4:H4" xr:uid="{0939F4B5-DDE0-4F18-B7B1-8B606A3DEA80}">
      <formula1>"Herr,Frau,Abteilung"</formula1>
    </dataValidation>
    <dataValidation type="list" allowBlank="1" showInputMessage="1" showErrorMessage="1" sqref="B28" xr:uid="{AA778305-B90C-46DB-9AB8-F7751C62C651}">
      <formula1>"Überweisung,Lastschrift"</formula1>
    </dataValidation>
  </dataValidation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F499-E92A-4FC0-9E69-CBFACAB1FF2C}">
  <dimension ref="A1:AB110"/>
  <sheetViews>
    <sheetView showGridLines="0" topLeftCell="A49" workbookViewId="0">
      <selection activeCell="AB4" sqref="AB4"/>
    </sheetView>
  </sheetViews>
  <sheetFormatPr baseColWidth="10" defaultRowHeight="13.5" x14ac:dyDescent="0.25"/>
  <cols>
    <col min="1" max="1" width="5.5" style="15" customWidth="1"/>
    <col min="2" max="2" width="12.625" style="15" customWidth="1"/>
    <col min="3" max="3" width="16" style="15" customWidth="1"/>
    <col min="4" max="4" width="11.25" style="15" customWidth="1"/>
    <col min="5" max="5" width="9" style="15" customWidth="1"/>
    <col min="6" max="6" width="6.375" style="15" customWidth="1"/>
    <col min="7" max="7" width="6.875" style="15" bestFit="1" customWidth="1"/>
    <col min="8" max="8" width="6.375" style="15" bestFit="1" customWidth="1"/>
    <col min="9" max="9" width="11.25" style="15" customWidth="1"/>
    <col min="10" max="11" width="6.875" style="15" bestFit="1" customWidth="1"/>
    <col min="12" max="12" width="10.125" style="15" customWidth="1"/>
    <col min="13" max="14" width="11" style="15"/>
    <col min="15" max="15" width="8.75" style="15" bestFit="1" customWidth="1"/>
    <col min="16" max="16" width="8.125" style="15" customWidth="1"/>
    <col min="17" max="17" width="9.625" style="15" customWidth="1"/>
    <col min="18" max="18" width="9.75" style="15" customWidth="1"/>
    <col min="19" max="19" width="9.625" style="15" customWidth="1"/>
    <col min="20" max="20" width="9.125" style="15" customWidth="1"/>
    <col min="21" max="21" width="7.875" style="15" customWidth="1"/>
    <col min="22" max="22" width="25.375" style="15" customWidth="1"/>
    <col min="23" max="23" width="9.125" style="15" customWidth="1"/>
    <col min="24" max="24" width="11.75" style="15" bestFit="1" customWidth="1"/>
    <col min="25" max="25" width="11" style="15"/>
    <col min="26" max="26" width="6.25" style="15" customWidth="1"/>
    <col min="27" max="27" width="8.875" style="15" bestFit="1" customWidth="1"/>
    <col min="28" max="28" width="8.625" style="15" bestFit="1" customWidth="1"/>
    <col min="29" max="16384" width="11" style="15"/>
  </cols>
  <sheetData>
    <row r="1" spans="1:28" s="30" customFormat="1" ht="26.25" customHeight="1" x14ac:dyDescent="0.25">
      <c r="A1" s="28" t="s">
        <v>324</v>
      </c>
      <c r="B1" s="29"/>
      <c r="C1" s="29" t="str" cm="1">
        <f t="array" ref="C1">Fullname(Kunde!$B$4,Kunde!$B$5) &amp; ", " &amp; Kunde!$B$7</f>
        <v>Friedrich von Lien AG, 27404 Zeven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8" s="24" customFormat="1" ht="15" x14ac:dyDescent="0.25">
      <c r="A2" s="23" t="s">
        <v>321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5" t="s">
        <v>322</v>
      </c>
      <c r="P2" s="23"/>
      <c r="Q2" s="23"/>
      <c r="R2" s="23"/>
      <c r="S2" s="27"/>
      <c r="T2" s="23" t="s">
        <v>323</v>
      </c>
      <c r="U2" s="27"/>
      <c r="V2" s="26"/>
      <c r="W2" s="23"/>
      <c r="X2" s="23"/>
      <c r="Y2" s="23"/>
      <c r="Z2" s="23"/>
      <c r="AA2" s="23"/>
      <c r="AB2" s="27"/>
    </row>
    <row r="3" spans="1:28" s="17" customFormat="1" ht="36" customHeight="1" x14ac:dyDescent="0.25">
      <c r="A3" s="17" t="s">
        <v>55</v>
      </c>
      <c r="B3" s="17" t="s">
        <v>56</v>
      </c>
      <c r="C3" s="17" t="s">
        <v>301</v>
      </c>
      <c r="D3" s="17" t="s">
        <v>302</v>
      </c>
      <c r="E3" s="17" t="s">
        <v>303</v>
      </c>
      <c r="F3" s="17" t="s">
        <v>304</v>
      </c>
      <c r="G3" s="17" t="s">
        <v>305</v>
      </c>
      <c r="H3" s="17" t="s">
        <v>57</v>
      </c>
      <c r="I3" s="17" t="s">
        <v>307</v>
      </c>
      <c r="J3" s="17" t="s">
        <v>377</v>
      </c>
      <c r="K3" s="17" t="s">
        <v>378</v>
      </c>
      <c r="L3" s="17" t="s">
        <v>310</v>
      </c>
      <c r="M3" s="17" t="s">
        <v>311</v>
      </c>
      <c r="N3" s="17" t="s">
        <v>312</v>
      </c>
      <c r="O3" s="17" t="s">
        <v>58</v>
      </c>
      <c r="P3" s="17" t="s">
        <v>315</v>
      </c>
      <c r="Q3" s="17" t="s">
        <v>59</v>
      </c>
      <c r="R3" s="17" t="s">
        <v>60</v>
      </c>
      <c r="S3" s="17" t="s">
        <v>61</v>
      </c>
      <c r="T3" s="17" t="s">
        <v>314</v>
      </c>
      <c r="U3" s="17" t="s">
        <v>316</v>
      </c>
      <c r="V3" s="17" t="s">
        <v>317</v>
      </c>
      <c r="W3" s="17" t="s">
        <v>318</v>
      </c>
      <c r="X3" s="17" t="s">
        <v>319</v>
      </c>
      <c r="Y3" s="17" t="s">
        <v>320</v>
      </c>
      <c r="Z3" s="17" t="s">
        <v>325</v>
      </c>
      <c r="AA3" s="17" t="s">
        <v>308</v>
      </c>
      <c r="AB3" s="17" t="s">
        <v>309</v>
      </c>
    </row>
    <row r="4" spans="1:28" x14ac:dyDescent="0.25">
      <c r="A4" s="35">
        <f t="shared" ref="A4:A35" si="0">ROW()-3</f>
        <v>1</v>
      </c>
      <c r="B4" s="16" t="s">
        <v>119</v>
      </c>
      <c r="C4" s="16" t="s">
        <v>120</v>
      </c>
      <c r="D4" s="16" t="s">
        <v>65</v>
      </c>
      <c r="E4" s="16" t="s">
        <v>66</v>
      </c>
      <c r="F4" s="16" t="s">
        <v>67</v>
      </c>
      <c r="G4" s="18"/>
      <c r="H4" s="18"/>
      <c r="I4" s="32">
        <v>44665</v>
      </c>
      <c r="J4" s="32">
        <v>44484</v>
      </c>
      <c r="K4" s="32">
        <v>44454</v>
      </c>
      <c r="L4" s="16"/>
      <c r="M4" s="16"/>
      <c r="N4" s="18" t="s">
        <v>313</v>
      </c>
      <c r="O4" s="22" t="s">
        <v>68</v>
      </c>
      <c r="P4" s="22" t="s">
        <v>69</v>
      </c>
      <c r="Q4" s="22"/>
      <c r="R4" s="22"/>
      <c r="S4" s="22"/>
      <c r="T4" s="33">
        <v>44614</v>
      </c>
      <c r="U4" s="19" t="s">
        <v>69</v>
      </c>
      <c r="V4" s="19"/>
      <c r="W4" s="20"/>
      <c r="X4" s="19"/>
      <c r="Y4" s="21">
        <v>125</v>
      </c>
      <c r="Z4" s="36" cm="1">
        <f t="array" ref="Z4">Vorlauf(Tabelle1[[#This Row],[Anbieter]])</f>
        <v>6</v>
      </c>
      <c r="AA4" s="37">
        <f>IFERROR(EDATE(Tabelle1[[#This Row],[Vertragsende]], -Tabelle1[[#This Row],[Vorlauf]]) + 1, "")</f>
        <v>44484</v>
      </c>
      <c r="AB4" s="37">
        <f>IFERROR(EDATE(Tabelle1[[#This Row],[Vertragsende]], -Tabelle1[[#This Row],[Vorlauf]] - 1) + 1, "")</f>
        <v>44454</v>
      </c>
    </row>
    <row r="5" spans="1:28" x14ac:dyDescent="0.25">
      <c r="A5" s="35">
        <f t="shared" si="0"/>
        <v>2</v>
      </c>
      <c r="B5" s="16" t="s">
        <v>121</v>
      </c>
      <c r="C5" s="16" t="s">
        <v>122</v>
      </c>
      <c r="D5" s="16" t="s">
        <v>65</v>
      </c>
      <c r="E5" s="16" t="s">
        <v>66</v>
      </c>
      <c r="F5" s="16" t="s">
        <v>67</v>
      </c>
      <c r="G5" s="18"/>
      <c r="H5" s="18"/>
      <c r="I5" s="32">
        <v>44665</v>
      </c>
      <c r="J5" s="32">
        <v>44484</v>
      </c>
      <c r="K5" s="32">
        <v>44454</v>
      </c>
      <c r="L5" s="16"/>
      <c r="M5" s="16"/>
      <c r="N5" s="18" t="s">
        <v>313</v>
      </c>
      <c r="O5" s="22" t="s">
        <v>68</v>
      </c>
      <c r="P5" s="22" t="s">
        <v>69</v>
      </c>
      <c r="Q5" s="22"/>
      <c r="R5" s="22"/>
      <c r="S5" s="22"/>
      <c r="T5" s="33">
        <v>44614</v>
      </c>
      <c r="U5" s="19" t="s">
        <v>69</v>
      </c>
      <c r="V5" s="19"/>
      <c r="W5" s="20"/>
      <c r="X5" s="19"/>
      <c r="Y5" s="21">
        <v>125</v>
      </c>
      <c r="Z5" s="36" cm="1">
        <f t="array" ref="Z5">Vorlauf(Tabelle1[[#This Row],[Anbieter]])</f>
        <v>6</v>
      </c>
      <c r="AA5" s="37">
        <f>IFERROR(EDATE(Tabelle1[[#This Row],[Vertragsende]], -Tabelle1[[#This Row],[Vorlauf]]) + 1, "")</f>
        <v>44484</v>
      </c>
      <c r="AB5" s="37">
        <f>IFERROR(EDATE(Tabelle1[[#This Row],[Vertragsende]], -Tabelle1[[#This Row],[Vorlauf]] - 1) + 1, "")</f>
        <v>44454</v>
      </c>
    </row>
    <row r="6" spans="1:28" x14ac:dyDescent="0.25">
      <c r="A6" s="35">
        <f t="shared" si="0"/>
        <v>3</v>
      </c>
      <c r="B6" s="16" t="s">
        <v>123</v>
      </c>
      <c r="C6" s="16" t="s">
        <v>124</v>
      </c>
      <c r="D6" s="16" t="s">
        <v>65</v>
      </c>
      <c r="E6" s="16" t="s">
        <v>66</v>
      </c>
      <c r="F6" s="16" t="s">
        <v>67</v>
      </c>
      <c r="G6" s="18"/>
      <c r="H6" s="18"/>
      <c r="I6" s="32">
        <v>44665</v>
      </c>
      <c r="J6" s="32">
        <v>44484</v>
      </c>
      <c r="K6" s="32">
        <v>44454</v>
      </c>
      <c r="L6" s="16"/>
      <c r="M6" s="16"/>
      <c r="N6" s="18" t="s">
        <v>313</v>
      </c>
      <c r="O6" s="22" t="s">
        <v>68</v>
      </c>
      <c r="P6" s="22" t="s">
        <v>69</v>
      </c>
      <c r="Q6" s="22"/>
      <c r="R6" s="22"/>
      <c r="S6" s="22"/>
      <c r="T6" s="33">
        <v>44614</v>
      </c>
      <c r="U6" s="19" t="s">
        <v>69</v>
      </c>
      <c r="V6" s="19"/>
      <c r="W6" s="20"/>
      <c r="X6" s="19"/>
      <c r="Y6" s="21">
        <v>125</v>
      </c>
      <c r="Z6" s="36" cm="1">
        <f t="array" ref="Z6">Vorlauf(Tabelle1[[#This Row],[Anbieter]])</f>
        <v>6</v>
      </c>
      <c r="AA6" s="37">
        <f>IFERROR(EDATE(Tabelle1[[#This Row],[Vertragsende]], -Tabelle1[[#This Row],[Vorlauf]]) + 1, "")</f>
        <v>44484</v>
      </c>
      <c r="AB6" s="37">
        <f>IFERROR(EDATE(Tabelle1[[#This Row],[Vertragsende]], -Tabelle1[[#This Row],[Vorlauf]] - 1) + 1, "")</f>
        <v>44454</v>
      </c>
    </row>
    <row r="7" spans="1:28" x14ac:dyDescent="0.25">
      <c r="A7" s="35">
        <f t="shared" si="0"/>
        <v>4</v>
      </c>
      <c r="B7" s="16" t="s">
        <v>125</v>
      </c>
      <c r="C7" s="16" t="s">
        <v>126</v>
      </c>
      <c r="D7" s="16" t="s">
        <v>65</v>
      </c>
      <c r="E7" s="16" t="s">
        <v>66</v>
      </c>
      <c r="F7" s="16" t="s">
        <v>67</v>
      </c>
      <c r="G7" s="18"/>
      <c r="H7" s="18"/>
      <c r="I7" s="32">
        <v>44665</v>
      </c>
      <c r="J7" s="32">
        <v>44484</v>
      </c>
      <c r="K7" s="32">
        <v>44454</v>
      </c>
      <c r="L7" s="16"/>
      <c r="M7" s="16"/>
      <c r="N7" s="18" t="s">
        <v>313</v>
      </c>
      <c r="O7" s="22" t="s">
        <v>68</v>
      </c>
      <c r="P7" s="22" t="s">
        <v>69</v>
      </c>
      <c r="Q7" s="22"/>
      <c r="R7" s="22"/>
      <c r="S7" s="22"/>
      <c r="T7" s="33">
        <v>44614</v>
      </c>
      <c r="U7" s="19" t="s">
        <v>69</v>
      </c>
      <c r="V7" s="19"/>
      <c r="W7" s="20"/>
      <c r="X7" s="19"/>
      <c r="Y7" s="21">
        <v>125</v>
      </c>
      <c r="Z7" s="36" cm="1">
        <f t="array" ref="Z7">Vorlauf(Tabelle1[[#This Row],[Anbieter]])</f>
        <v>6</v>
      </c>
      <c r="AA7" s="37">
        <f>IFERROR(EDATE(Tabelle1[[#This Row],[Vertragsende]], -Tabelle1[[#This Row],[Vorlauf]]) + 1, "")</f>
        <v>44484</v>
      </c>
      <c r="AB7" s="37">
        <f>IFERROR(EDATE(Tabelle1[[#This Row],[Vertragsende]], -Tabelle1[[#This Row],[Vorlauf]] - 1) + 1, "")</f>
        <v>44454</v>
      </c>
    </row>
    <row r="8" spans="1:28" x14ac:dyDescent="0.25">
      <c r="A8" s="35">
        <f t="shared" si="0"/>
        <v>5</v>
      </c>
      <c r="B8" s="16" t="s">
        <v>127</v>
      </c>
      <c r="C8" s="16" t="s">
        <v>128</v>
      </c>
      <c r="D8" s="16" t="s">
        <v>65</v>
      </c>
      <c r="E8" s="16" t="s">
        <v>66</v>
      </c>
      <c r="F8" s="16" t="s">
        <v>67</v>
      </c>
      <c r="G8" s="18"/>
      <c r="H8" s="18"/>
      <c r="I8" s="32">
        <v>44665</v>
      </c>
      <c r="J8" s="32">
        <v>44484</v>
      </c>
      <c r="K8" s="32">
        <v>44454</v>
      </c>
      <c r="L8" s="16"/>
      <c r="M8" s="16"/>
      <c r="N8" s="18" t="s">
        <v>313</v>
      </c>
      <c r="O8" s="22" t="s">
        <v>68</v>
      </c>
      <c r="P8" s="22" t="s">
        <v>69</v>
      </c>
      <c r="Q8" s="22"/>
      <c r="R8" s="22"/>
      <c r="S8" s="22"/>
      <c r="T8" s="33">
        <v>44614</v>
      </c>
      <c r="U8" s="19" t="s">
        <v>69</v>
      </c>
      <c r="V8" s="19"/>
      <c r="W8" s="20"/>
      <c r="X8" s="19"/>
      <c r="Y8" s="21">
        <v>125</v>
      </c>
      <c r="Z8" s="36" cm="1">
        <f t="array" ref="Z8">Vorlauf(Tabelle1[[#This Row],[Anbieter]])</f>
        <v>6</v>
      </c>
      <c r="AA8" s="37">
        <f>IFERROR(EDATE(Tabelle1[[#This Row],[Vertragsende]], -Tabelle1[[#This Row],[Vorlauf]]) + 1, "")</f>
        <v>44484</v>
      </c>
      <c r="AB8" s="37">
        <f>IFERROR(EDATE(Tabelle1[[#This Row],[Vertragsende]], -Tabelle1[[#This Row],[Vorlauf]] - 1) + 1, "")</f>
        <v>44454</v>
      </c>
    </row>
    <row r="9" spans="1:28" x14ac:dyDescent="0.25">
      <c r="A9" s="35">
        <f t="shared" si="0"/>
        <v>6</v>
      </c>
      <c r="B9" s="16" t="s">
        <v>129</v>
      </c>
      <c r="C9" s="16" t="s">
        <v>130</v>
      </c>
      <c r="D9" s="16" t="s">
        <v>65</v>
      </c>
      <c r="E9" s="16" t="s">
        <v>66</v>
      </c>
      <c r="F9" s="16" t="s">
        <v>67</v>
      </c>
      <c r="G9" s="18"/>
      <c r="H9" s="18"/>
      <c r="I9" s="32">
        <v>44665</v>
      </c>
      <c r="J9" s="32">
        <v>44484</v>
      </c>
      <c r="K9" s="32">
        <v>44454</v>
      </c>
      <c r="L9" s="16"/>
      <c r="M9" s="16"/>
      <c r="N9" s="18" t="s">
        <v>313</v>
      </c>
      <c r="O9" s="22" t="s">
        <v>68</v>
      </c>
      <c r="P9" s="22" t="s">
        <v>69</v>
      </c>
      <c r="Q9" s="22"/>
      <c r="R9" s="22"/>
      <c r="S9" s="22"/>
      <c r="T9" s="33">
        <v>44614</v>
      </c>
      <c r="U9" s="19" t="s">
        <v>69</v>
      </c>
      <c r="V9" s="19"/>
      <c r="W9" s="20"/>
      <c r="X9" s="19"/>
      <c r="Y9" s="21">
        <v>125</v>
      </c>
      <c r="Z9" s="36" cm="1">
        <f t="array" ref="Z9">Vorlauf(Tabelle1[[#This Row],[Anbieter]])</f>
        <v>6</v>
      </c>
      <c r="AA9" s="37">
        <f>IFERROR(EDATE(Tabelle1[[#This Row],[Vertragsende]], -Tabelle1[[#This Row],[Vorlauf]]) + 1, "")</f>
        <v>44484</v>
      </c>
      <c r="AB9" s="37">
        <f>IFERROR(EDATE(Tabelle1[[#This Row],[Vertragsende]], -Tabelle1[[#This Row],[Vorlauf]] - 1) + 1, "")</f>
        <v>44454</v>
      </c>
    </row>
    <row r="10" spans="1:28" x14ac:dyDescent="0.25">
      <c r="A10" s="35">
        <f t="shared" si="0"/>
        <v>7</v>
      </c>
      <c r="B10" s="16" t="s">
        <v>131</v>
      </c>
      <c r="C10" s="16" t="s">
        <v>132</v>
      </c>
      <c r="D10" s="16" t="s">
        <v>65</v>
      </c>
      <c r="E10" s="16" t="s">
        <v>66</v>
      </c>
      <c r="F10" s="16" t="s">
        <v>67</v>
      </c>
      <c r="G10" s="18"/>
      <c r="H10" s="18"/>
      <c r="I10" s="32">
        <v>44665</v>
      </c>
      <c r="J10" s="32">
        <v>44484</v>
      </c>
      <c r="K10" s="32">
        <v>44454</v>
      </c>
      <c r="L10" s="16"/>
      <c r="M10" s="16"/>
      <c r="N10" s="18" t="s">
        <v>313</v>
      </c>
      <c r="O10" s="22" t="s">
        <v>68</v>
      </c>
      <c r="P10" s="22" t="s">
        <v>69</v>
      </c>
      <c r="Q10" s="22"/>
      <c r="R10" s="22"/>
      <c r="S10" s="22"/>
      <c r="T10" s="33">
        <v>44614</v>
      </c>
      <c r="U10" s="19" t="s">
        <v>69</v>
      </c>
      <c r="V10" s="19"/>
      <c r="W10" s="20"/>
      <c r="X10" s="19"/>
      <c r="Y10" s="21">
        <v>125</v>
      </c>
      <c r="Z10" s="36" cm="1">
        <f t="array" ref="Z10">Vorlauf(Tabelle1[[#This Row],[Anbieter]])</f>
        <v>6</v>
      </c>
      <c r="AA10" s="37">
        <f>IFERROR(EDATE(Tabelle1[[#This Row],[Vertragsende]], -Tabelle1[[#This Row],[Vorlauf]]) + 1, "")</f>
        <v>44484</v>
      </c>
      <c r="AB10" s="37">
        <f>IFERROR(EDATE(Tabelle1[[#This Row],[Vertragsende]], -Tabelle1[[#This Row],[Vorlauf]] - 1) + 1, "")</f>
        <v>44454</v>
      </c>
    </row>
    <row r="11" spans="1:28" x14ac:dyDescent="0.25">
      <c r="A11" s="35">
        <f t="shared" si="0"/>
        <v>8</v>
      </c>
      <c r="B11" s="16" t="s">
        <v>133</v>
      </c>
      <c r="C11" s="16" t="s">
        <v>134</v>
      </c>
      <c r="D11" s="16" t="s">
        <v>65</v>
      </c>
      <c r="E11" s="16" t="s">
        <v>66</v>
      </c>
      <c r="F11" s="16" t="s">
        <v>67</v>
      </c>
      <c r="G11" s="18"/>
      <c r="H11" s="18"/>
      <c r="I11" s="32">
        <v>44665</v>
      </c>
      <c r="J11" s="32">
        <v>44484</v>
      </c>
      <c r="K11" s="32">
        <v>44454</v>
      </c>
      <c r="L11" s="16"/>
      <c r="M11" s="16"/>
      <c r="N11" s="18" t="s">
        <v>313</v>
      </c>
      <c r="O11" s="22" t="s">
        <v>68</v>
      </c>
      <c r="P11" s="22" t="s">
        <v>69</v>
      </c>
      <c r="Q11" s="22"/>
      <c r="R11" s="22"/>
      <c r="S11" s="22"/>
      <c r="T11" s="33">
        <v>44614</v>
      </c>
      <c r="U11" s="19" t="s">
        <v>69</v>
      </c>
      <c r="V11" s="19"/>
      <c r="W11" s="20"/>
      <c r="X11" s="19"/>
      <c r="Y11" s="21">
        <v>125</v>
      </c>
      <c r="Z11" s="36" cm="1">
        <f t="array" ref="Z11">Vorlauf(Tabelle1[[#This Row],[Anbieter]])</f>
        <v>6</v>
      </c>
      <c r="AA11" s="37">
        <f>IFERROR(EDATE(Tabelle1[[#This Row],[Vertragsende]], -Tabelle1[[#This Row],[Vorlauf]]) + 1, "")</f>
        <v>44484</v>
      </c>
      <c r="AB11" s="37">
        <f>IFERROR(EDATE(Tabelle1[[#This Row],[Vertragsende]], -Tabelle1[[#This Row],[Vorlauf]] - 1) + 1, "")</f>
        <v>44454</v>
      </c>
    </row>
    <row r="12" spans="1:28" x14ac:dyDescent="0.25">
      <c r="A12" s="35">
        <f t="shared" si="0"/>
        <v>9</v>
      </c>
      <c r="B12" s="16" t="s">
        <v>135</v>
      </c>
      <c r="C12" s="16" t="s">
        <v>136</v>
      </c>
      <c r="D12" s="16" t="s">
        <v>65</v>
      </c>
      <c r="E12" s="16" t="s">
        <v>66</v>
      </c>
      <c r="F12" s="16" t="s">
        <v>67</v>
      </c>
      <c r="G12" s="18"/>
      <c r="H12" s="18"/>
      <c r="I12" s="32">
        <v>44665</v>
      </c>
      <c r="J12" s="32">
        <v>44484</v>
      </c>
      <c r="K12" s="32">
        <v>44454</v>
      </c>
      <c r="L12" s="16"/>
      <c r="M12" s="16"/>
      <c r="N12" s="18" t="s">
        <v>313</v>
      </c>
      <c r="O12" s="22" t="s">
        <v>68</v>
      </c>
      <c r="P12" s="22" t="s">
        <v>69</v>
      </c>
      <c r="Q12" s="22"/>
      <c r="R12" s="22"/>
      <c r="S12" s="22"/>
      <c r="T12" s="33">
        <v>44614</v>
      </c>
      <c r="U12" s="19" t="s">
        <v>69</v>
      </c>
      <c r="V12" s="19"/>
      <c r="W12" s="20"/>
      <c r="X12" s="19"/>
      <c r="Y12" s="21">
        <v>125</v>
      </c>
      <c r="Z12" s="36" cm="1">
        <f t="array" ref="Z12">Vorlauf(Tabelle1[[#This Row],[Anbieter]])</f>
        <v>6</v>
      </c>
      <c r="AA12" s="37">
        <f>IFERROR(EDATE(Tabelle1[[#This Row],[Vertragsende]], -Tabelle1[[#This Row],[Vorlauf]]) + 1, "")</f>
        <v>44484</v>
      </c>
      <c r="AB12" s="37">
        <f>IFERROR(EDATE(Tabelle1[[#This Row],[Vertragsende]], -Tabelle1[[#This Row],[Vorlauf]] - 1) + 1, "")</f>
        <v>44454</v>
      </c>
    </row>
    <row r="13" spans="1:28" x14ac:dyDescent="0.25">
      <c r="A13" s="35">
        <f t="shared" si="0"/>
        <v>10</v>
      </c>
      <c r="B13" s="16" t="s">
        <v>137</v>
      </c>
      <c r="C13" s="16" t="s">
        <v>138</v>
      </c>
      <c r="D13" s="16" t="s">
        <v>65</v>
      </c>
      <c r="E13" s="16" t="s">
        <v>66</v>
      </c>
      <c r="F13" s="16" t="s">
        <v>67</v>
      </c>
      <c r="G13" s="18"/>
      <c r="H13" s="18"/>
      <c r="I13" s="32">
        <v>44665</v>
      </c>
      <c r="J13" s="32">
        <v>44484</v>
      </c>
      <c r="K13" s="32">
        <v>44454</v>
      </c>
      <c r="L13" s="16"/>
      <c r="M13" s="16"/>
      <c r="N13" s="18" t="s">
        <v>313</v>
      </c>
      <c r="O13" s="22" t="s">
        <v>68</v>
      </c>
      <c r="P13" s="22" t="s">
        <v>69</v>
      </c>
      <c r="Q13" s="22"/>
      <c r="R13" s="22"/>
      <c r="S13" s="22"/>
      <c r="T13" s="33">
        <v>44614</v>
      </c>
      <c r="U13" s="19" t="s">
        <v>69</v>
      </c>
      <c r="V13" s="19"/>
      <c r="W13" s="20"/>
      <c r="X13" s="19"/>
      <c r="Y13" s="21">
        <v>125</v>
      </c>
      <c r="Z13" s="36" cm="1">
        <f t="array" ref="Z13">Vorlauf(Tabelle1[[#This Row],[Anbieter]])</f>
        <v>6</v>
      </c>
      <c r="AA13" s="37">
        <f>IFERROR(EDATE(Tabelle1[[#This Row],[Vertragsende]], -Tabelle1[[#This Row],[Vorlauf]]) + 1, "")</f>
        <v>44484</v>
      </c>
      <c r="AB13" s="37">
        <f>IFERROR(EDATE(Tabelle1[[#This Row],[Vertragsende]], -Tabelle1[[#This Row],[Vorlauf]] - 1) + 1, "")</f>
        <v>44454</v>
      </c>
    </row>
    <row r="14" spans="1:28" x14ac:dyDescent="0.25">
      <c r="A14" s="35">
        <f t="shared" si="0"/>
        <v>11</v>
      </c>
      <c r="B14" s="16" t="s">
        <v>139</v>
      </c>
      <c r="C14" s="16" t="s">
        <v>140</v>
      </c>
      <c r="D14" s="16" t="s">
        <v>65</v>
      </c>
      <c r="E14" s="16" t="s">
        <v>66</v>
      </c>
      <c r="F14" s="16" t="s">
        <v>67</v>
      </c>
      <c r="G14" s="18"/>
      <c r="H14" s="18"/>
      <c r="I14" s="32">
        <v>44665</v>
      </c>
      <c r="J14" s="32">
        <v>44484</v>
      </c>
      <c r="K14" s="32">
        <v>44454</v>
      </c>
      <c r="L14" s="16"/>
      <c r="M14" s="16"/>
      <c r="N14" s="18" t="s">
        <v>313</v>
      </c>
      <c r="O14" s="22" t="s">
        <v>68</v>
      </c>
      <c r="P14" s="22" t="s">
        <v>69</v>
      </c>
      <c r="Q14" s="22"/>
      <c r="R14" s="22"/>
      <c r="S14" s="22"/>
      <c r="T14" s="33">
        <v>44614</v>
      </c>
      <c r="U14" s="19" t="s">
        <v>69</v>
      </c>
      <c r="V14" s="19"/>
      <c r="W14" s="20"/>
      <c r="X14" s="19"/>
      <c r="Y14" s="21">
        <v>125</v>
      </c>
      <c r="Z14" s="36" cm="1">
        <f t="array" ref="Z14">Vorlauf(Tabelle1[[#This Row],[Anbieter]])</f>
        <v>6</v>
      </c>
      <c r="AA14" s="37">
        <f>IFERROR(EDATE(Tabelle1[[#This Row],[Vertragsende]], -Tabelle1[[#This Row],[Vorlauf]]) + 1, "")</f>
        <v>44484</v>
      </c>
      <c r="AB14" s="37">
        <f>IFERROR(EDATE(Tabelle1[[#This Row],[Vertragsende]], -Tabelle1[[#This Row],[Vorlauf]] - 1) + 1, "")</f>
        <v>44454</v>
      </c>
    </row>
    <row r="15" spans="1:28" x14ac:dyDescent="0.25">
      <c r="A15" s="35">
        <f t="shared" si="0"/>
        <v>12</v>
      </c>
      <c r="B15" s="16" t="s">
        <v>141</v>
      </c>
      <c r="C15" s="16" t="s">
        <v>142</v>
      </c>
      <c r="D15" s="16" t="s">
        <v>65</v>
      </c>
      <c r="E15" s="16" t="s">
        <v>66</v>
      </c>
      <c r="F15" s="16" t="s">
        <v>67</v>
      </c>
      <c r="G15" s="18"/>
      <c r="H15" s="18"/>
      <c r="I15" s="32">
        <v>44665</v>
      </c>
      <c r="J15" s="32">
        <v>44484</v>
      </c>
      <c r="K15" s="32">
        <v>44454</v>
      </c>
      <c r="L15" s="16"/>
      <c r="M15" s="16"/>
      <c r="N15" s="18" t="s">
        <v>313</v>
      </c>
      <c r="O15" s="22" t="s">
        <v>68</v>
      </c>
      <c r="P15" s="22" t="s">
        <v>69</v>
      </c>
      <c r="Q15" s="22"/>
      <c r="R15" s="22"/>
      <c r="S15" s="22"/>
      <c r="T15" s="33">
        <v>44614</v>
      </c>
      <c r="U15" s="19" t="s">
        <v>69</v>
      </c>
      <c r="V15" s="19"/>
      <c r="W15" s="20"/>
      <c r="X15" s="19"/>
      <c r="Y15" s="21">
        <v>125</v>
      </c>
      <c r="Z15" s="36" cm="1">
        <f t="array" ref="Z15">Vorlauf(Tabelle1[[#This Row],[Anbieter]])</f>
        <v>6</v>
      </c>
      <c r="AA15" s="37">
        <f>IFERROR(EDATE(Tabelle1[[#This Row],[Vertragsende]], -Tabelle1[[#This Row],[Vorlauf]]) + 1, "")</f>
        <v>44484</v>
      </c>
      <c r="AB15" s="37">
        <f>IFERROR(EDATE(Tabelle1[[#This Row],[Vertragsende]], -Tabelle1[[#This Row],[Vorlauf]] - 1) + 1, "")</f>
        <v>44454</v>
      </c>
    </row>
    <row r="16" spans="1:28" x14ac:dyDescent="0.25">
      <c r="A16" s="35">
        <f t="shared" si="0"/>
        <v>13</v>
      </c>
      <c r="B16" s="16" t="s">
        <v>143</v>
      </c>
      <c r="C16" s="16" t="s">
        <v>144</v>
      </c>
      <c r="D16" s="16" t="s">
        <v>65</v>
      </c>
      <c r="E16" s="16" t="s">
        <v>66</v>
      </c>
      <c r="F16" s="16" t="s">
        <v>67</v>
      </c>
      <c r="G16" s="18"/>
      <c r="H16" s="18"/>
      <c r="I16" s="32">
        <v>44665</v>
      </c>
      <c r="J16" s="32">
        <v>44484</v>
      </c>
      <c r="K16" s="32">
        <v>44454</v>
      </c>
      <c r="L16" s="16"/>
      <c r="M16" s="16"/>
      <c r="N16" s="18" t="s">
        <v>313</v>
      </c>
      <c r="O16" s="22" t="s">
        <v>68</v>
      </c>
      <c r="P16" s="22" t="s">
        <v>69</v>
      </c>
      <c r="Q16" s="22"/>
      <c r="R16" s="22"/>
      <c r="S16" s="22"/>
      <c r="T16" s="33">
        <v>44614</v>
      </c>
      <c r="U16" s="19" t="s">
        <v>69</v>
      </c>
      <c r="V16" s="19"/>
      <c r="W16" s="20"/>
      <c r="X16" s="19"/>
      <c r="Y16" s="21">
        <v>125</v>
      </c>
      <c r="Z16" s="36" cm="1">
        <f t="array" ref="Z16">Vorlauf(Tabelle1[[#This Row],[Anbieter]])</f>
        <v>6</v>
      </c>
      <c r="AA16" s="37">
        <f>IFERROR(EDATE(Tabelle1[[#This Row],[Vertragsende]], -Tabelle1[[#This Row],[Vorlauf]]) + 1, "")</f>
        <v>44484</v>
      </c>
      <c r="AB16" s="37">
        <f>IFERROR(EDATE(Tabelle1[[#This Row],[Vertragsende]], -Tabelle1[[#This Row],[Vorlauf]] - 1) + 1, "")</f>
        <v>44454</v>
      </c>
    </row>
    <row r="17" spans="1:28" x14ac:dyDescent="0.25">
      <c r="A17" s="35">
        <f t="shared" si="0"/>
        <v>14</v>
      </c>
      <c r="B17" s="16" t="s">
        <v>145</v>
      </c>
      <c r="C17" s="16" t="s">
        <v>146</v>
      </c>
      <c r="D17" s="16" t="s">
        <v>65</v>
      </c>
      <c r="E17" s="16" t="s">
        <v>66</v>
      </c>
      <c r="F17" s="16" t="s">
        <v>67</v>
      </c>
      <c r="G17" s="18"/>
      <c r="H17" s="18"/>
      <c r="I17" s="32">
        <v>44665</v>
      </c>
      <c r="J17" s="32">
        <v>44484</v>
      </c>
      <c r="K17" s="32">
        <v>44454</v>
      </c>
      <c r="L17" s="16"/>
      <c r="M17" s="16"/>
      <c r="N17" s="18" t="s">
        <v>313</v>
      </c>
      <c r="O17" s="22" t="s">
        <v>68</v>
      </c>
      <c r="P17" s="22" t="s">
        <v>69</v>
      </c>
      <c r="Q17" s="22"/>
      <c r="R17" s="22"/>
      <c r="S17" s="22"/>
      <c r="T17" s="33">
        <v>44614</v>
      </c>
      <c r="U17" s="19" t="s">
        <v>69</v>
      </c>
      <c r="V17" s="19"/>
      <c r="W17" s="20"/>
      <c r="X17" s="19"/>
      <c r="Y17" s="21">
        <v>125</v>
      </c>
      <c r="Z17" s="36" cm="1">
        <f t="array" ref="Z17">Vorlauf(Tabelle1[[#This Row],[Anbieter]])</f>
        <v>6</v>
      </c>
      <c r="AA17" s="37">
        <f>IFERROR(EDATE(Tabelle1[[#This Row],[Vertragsende]], -Tabelle1[[#This Row],[Vorlauf]]) + 1, "")</f>
        <v>44484</v>
      </c>
      <c r="AB17" s="37">
        <f>IFERROR(EDATE(Tabelle1[[#This Row],[Vertragsende]], -Tabelle1[[#This Row],[Vorlauf]] - 1) + 1, "")</f>
        <v>44454</v>
      </c>
    </row>
    <row r="18" spans="1:28" x14ac:dyDescent="0.25">
      <c r="A18" s="35">
        <f t="shared" si="0"/>
        <v>15</v>
      </c>
      <c r="B18" s="16" t="s">
        <v>147</v>
      </c>
      <c r="C18" s="16" t="s">
        <v>148</v>
      </c>
      <c r="D18" s="16" t="s">
        <v>65</v>
      </c>
      <c r="E18" s="16" t="s">
        <v>66</v>
      </c>
      <c r="F18" s="16" t="s">
        <v>67</v>
      </c>
      <c r="G18" s="18"/>
      <c r="H18" s="18"/>
      <c r="I18" s="32">
        <v>44665</v>
      </c>
      <c r="J18" s="32">
        <v>44484</v>
      </c>
      <c r="K18" s="32">
        <v>44454</v>
      </c>
      <c r="L18" s="16"/>
      <c r="M18" s="16"/>
      <c r="N18" s="18" t="s">
        <v>313</v>
      </c>
      <c r="O18" s="22" t="s">
        <v>68</v>
      </c>
      <c r="P18" s="22" t="s">
        <v>69</v>
      </c>
      <c r="Q18" s="22"/>
      <c r="R18" s="22"/>
      <c r="S18" s="22"/>
      <c r="T18" s="33">
        <v>44614</v>
      </c>
      <c r="U18" s="19" t="s">
        <v>69</v>
      </c>
      <c r="V18" s="19"/>
      <c r="W18" s="20"/>
      <c r="X18" s="19"/>
      <c r="Y18" s="21">
        <v>125</v>
      </c>
      <c r="Z18" s="36" cm="1">
        <f t="array" ref="Z18">Vorlauf(Tabelle1[[#This Row],[Anbieter]])</f>
        <v>6</v>
      </c>
      <c r="AA18" s="37">
        <f>IFERROR(EDATE(Tabelle1[[#This Row],[Vertragsende]], -Tabelle1[[#This Row],[Vorlauf]]) + 1, "")</f>
        <v>44484</v>
      </c>
      <c r="AB18" s="37">
        <f>IFERROR(EDATE(Tabelle1[[#This Row],[Vertragsende]], -Tabelle1[[#This Row],[Vorlauf]] - 1) + 1, "")</f>
        <v>44454</v>
      </c>
    </row>
    <row r="19" spans="1:28" x14ac:dyDescent="0.25">
      <c r="A19" s="35">
        <f t="shared" si="0"/>
        <v>16</v>
      </c>
      <c r="B19" s="16" t="s">
        <v>149</v>
      </c>
      <c r="C19" s="16" t="s">
        <v>150</v>
      </c>
      <c r="D19" s="16" t="s">
        <v>65</v>
      </c>
      <c r="E19" s="16" t="s">
        <v>66</v>
      </c>
      <c r="F19" s="16" t="s">
        <v>67</v>
      </c>
      <c r="G19" s="18"/>
      <c r="H19" s="18"/>
      <c r="I19" s="32">
        <v>44665</v>
      </c>
      <c r="J19" s="32">
        <v>44484</v>
      </c>
      <c r="K19" s="32">
        <v>44454</v>
      </c>
      <c r="L19" s="16"/>
      <c r="M19" s="16"/>
      <c r="N19" s="18" t="s">
        <v>313</v>
      </c>
      <c r="O19" s="22" t="s">
        <v>68</v>
      </c>
      <c r="P19" s="22" t="s">
        <v>69</v>
      </c>
      <c r="Q19" s="22"/>
      <c r="R19" s="22"/>
      <c r="S19" s="22"/>
      <c r="T19" s="33">
        <v>44614</v>
      </c>
      <c r="U19" s="19" t="s">
        <v>69</v>
      </c>
      <c r="V19" s="19"/>
      <c r="W19" s="20"/>
      <c r="X19" s="19"/>
      <c r="Y19" s="21">
        <v>125</v>
      </c>
      <c r="Z19" s="36" cm="1">
        <f t="array" ref="Z19">Vorlauf(Tabelle1[[#This Row],[Anbieter]])</f>
        <v>6</v>
      </c>
      <c r="AA19" s="37">
        <f>IFERROR(EDATE(Tabelle1[[#This Row],[Vertragsende]], -Tabelle1[[#This Row],[Vorlauf]]) + 1, "")</f>
        <v>44484</v>
      </c>
      <c r="AB19" s="37">
        <f>IFERROR(EDATE(Tabelle1[[#This Row],[Vertragsende]], -Tabelle1[[#This Row],[Vorlauf]] - 1) + 1, "")</f>
        <v>44454</v>
      </c>
    </row>
    <row r="20" spans="1:28" x14ac:dyDescent="0.25">
      <c r="A20" s="35">
        <f t="shared" si="0"/>
        <v>17</v>
      </c>
      <c r="B20" s="16" t="s">
        <v>151</v>
      </c>
      <c r="C20" s="16" t="s">
        <v>152</v>
      </c>
      <c r="D20" s="16" t="s">
        <v>65</v>
      </c>
      <c r="E20" s="16" t="s">
        <v>66</v>
      </c>
      <c r="F20" s="16" t="s">
        <v>67</v>
      </c>
      <c r="G20" s="18"/>
      <c r="H20" s="18"/>
      <c r="I20" s="32">
        <v>44665</v>
      </c>
      <c r="J20" s="32">
        <v>44484</v>
      </c>
      <c r="K20" s="32">
        <v>44454</v>
      </c>
      <c r="L20" s="16"/>
      <c r="M20" s="16"/>
      <c r="N20" s="18" t="s">
        <v>313</v>
      </c>
      <c r="O20" s="22" t="s">
        <v>68</v>
      </c>
      <c r="P20" s="22" t="s">
        <v>69</v>
      </c>
      <c r="Q20" s="22"/>
      <c r="R20" s="22"/>
      <c r="S20" s="22"/>
      <c r="T20" s="33">
        <v>44614</v>
      </c>
      <c r="U20" s="19" t="s">
        <v>69</v>
      </c>
      <c r="V20" s="19"/>
      <c r="W20" s="20"/>
      <c r="X20" s="19"/>
      <c r="Y20" s="21">
        <v>125</v>
      </c>
      <c r="Z20" s="36" cm="1">
        <f t="array" ref="Z20">Vorlauf(Tabelle1[[#This Row],[Anbieter]])</f>
        <v>6</v>
      </c>
      <c r="AA20" s="37">
        <f>IFERROR(EDATE(Tabelle1[[#This Row],[Vertragsende]], -Tabelle1[[#This Row],[Vorlauf]]) + 1, "")</f>
        <v>44484</v>
      </c>
      <c r="AB20" s="37">
        <f>IFERROR(EDATE(Tabelle1[[#This Row],[Vertragsende]], -Tabelle1[[#This Row],[Vorlauf]] - 1) + 1, "")</f>
        <v>44454</v>
      </c>
    </row>
    <row r="21" spans="1:28" x14ac:dyDescent="0.25">
      <c r="A21" s="35">
        <f t="shared" si="0"/>
        <v>18</v>
      </c>
      <c r="B21" s="16" t="s">
        <v>153</v>
      </c>
      <c r="C21" s="16" t="s">
        <v>154</v>
      </c>
      <c r="D21" s="16" t="s">
        <v>65</v>
      </c>
      <c r="E21" s="16" t="s">
        <v>66</v>
      </c>
      <c r="F21" s="16" t="s">
        <v>67</v>
      </c>
      <c r="G21" s="18"/>
      <c r="H21" s="18"/>
      <c r="I21" s="32">
        <v>44665</v>
      </c>
      <c r="J21" s="32">
        <v>44484</v>
      </c>
      <c r="K21" s="32">
        <v>44454</v>
      </c>
      <c r="L21" s="16"/>
      <c r="M21" s="16"/>
      <c r="N21" s="18" t="s">
        <v>313</v>
      </c>
      <c r="O21" s="22" t="s">
        <v>68</v>
      </c>
      <c r="P21" s="22" t="s">
        <v>69</v>
      </c>
      <c r="Q21" s="22"/>
      <c r="R21" s="22"/>
      <c r="S21" s="22"/>
      <c r="T21" s="33">
        <v>44614</v>
      </c>
      <c r="U21" s="19" t="s">
        <v>69</v>
      </c>
      <c r="V21" s="19"/>
      <c r="W21" s="20"/>
      <c r="X21" s="19"/>
      <c r="Y21" s="21">
        <v>125</v>
      </c>
      <c r="Z21" s="36" cm="1">
        <f t="array" ref="Z21">Vorlauf(Tabelle1[[#This Row],[Anbieter]])</f>
        <v>6</v>
      </c>
      <c r="AA21" s="37">
        <f>IFERROR(EDATE(Tabelle1[[#This Row],[Vertragsende]], -Tabelle1[[#This Row],[Vorlauf]]) + 1, "")</f>
        <v>44484</v>
      </c>
      <c r="AB21" s="37">
        <f>IFERROR(EDATE(Tabelle1[[#This Row],[Vertragsende]], -Tabelle1[[#This Row],[Vorlauf]] - 1) + 1, "")</f>
        <v>44454</v>
      </c>
    </row>
    <row r="22" spans="1:28" x14ac:dyDescent="0.25">
      <c r="A22" s="35">
        <f t="shared" si="0"/>
        <v>19</v>
      </c>
      <c r="B22" s="16" t="s">
        <v>155</v>
      </c>
      <c r="C22" s="16" t="s">
        <v>156</v>
      </c>
      <c r="D22" s="16" t="s">
        <v>65</v>
      </c>
      <c r="E22" s="16" t="s">
        <v>66</v>
      </c>
      <c r="F22" s="16" t="s">
        <v>67</v>
      </c>
      <c r="G22" s="18"/>
      <c r="H22" s="18"/>
      <c r="I22" s="32">
        <v>44665</v>
      </c>
      <c r="J22" s="32">
        <v>44484</v>
      </c>
      <c r="K22" s="32">
        <v>44454</v>
      </c>
      <c r="L22" s="16"/>
      <c r="M22" s="16"/>
      <c r="N22" s="18" t="s">
        <v>313</v>
      </c>
      <c r="O22" s="22" t="s">
        <v>68</v>
      </c>
      <c r="P22" s="22" t="s">
        <v>69</v>
      </c>
      <c r="Q22" s="22"/>
      <c r="R22" s="22"/>
      <c r="S22" s="22"/>
      <c r="T22" s="33">
        <v>44614</v>
      </c>
      <c r="U22" s="19" t="s">
        <v>69</v>
      </c>
      <c r="V22" s="19"/>
      <c r="W22" s="20"/>
      <c r="X22" s="19"/>
      <c r="Y22" s="21">
        <v>125</v>
      </c>
      <c r="Z22" s="36" cm="1">
        <f t="array" ref="Z22">Vorlauf(Tabelle1[[#This Row],[Anbieter]])</f>
        <v>6</v>
      </c>
      <c r="AA22" s="37">
        <f>IFERROR(EDATE(Tabelle1[[#This Row],[Vertragsende]], -Tabelle1[[#This Row],[Vorlauf]]) + 1, "")</f>
        <v>44484</v>
      </c>
      <c r="AB22" s="37">
        <f>IFERROR(EDATE(Tabelle1[[#This Row],[Vertragsende]], -Tabelle1[[#This Row],[Vorlauf]] - 1) + 1, "")</f>
        <v>44454</v>
      </c>
    </row>
    <row r="23" spans="1:28" x14ac:dyDescent="0.25">
      <c r="A23" s="35">
        <f t="shared" si="0"/>
        <v>20</v>
      </c>
      <c r="B23" s="16" t="s">
        <v>157</v>
      </c>
      <c r="C23" s="16" t="s">
        <v>158</v>
      </c>
      <c r="D23" s="16" t="s">
        <v>65</v>
      </c>
      <c r="E23" s="16" t="s">
        <v>66</v>
      </c>
      <c r="F23" s="16" t="s">
        <v>67</v>
      </c>
      <c r="G23" s="18"/>
      <c r="H23" s="18"/>
      <c r="I23" s="32">
        <v>44665</v>
      </c>
      <c r="J23" s="32">
        <v>44484</v>
      </c>
      <c r="K23" s="32">
        <v>44454</v>
      </c>
      <c r="L23" s="16"/>
      <c r="M23" s="16"/>
      <c r="N23" s="18" t="s">
        <v>313</v>
      </c>
      <c r="O23" s="22" t="s">
        <v>68</v>
      </c>
      <c r="P23" s="22" t="s">
        <v>69</v>
      </c>
      <c r="Q23" s="22"/>
      <c r="R23" s="22"/>
      <c r="S23" s="22"/>
      <c r="T23" s="33">
        <v>44614</v>
      </c>
      <c r="U23" s="19" t="s">
        <v>69</v>
      </c>
      <c r="V23" s="19"/>
      <c r="W23" s="20"/>
      <c r="X23" s="19"/>
      <c r="Y23" s="21">
        <v>125</v>
      </c>
      <c r="Z23" s="36" cm="1">
        <f t="array" ref="Z23">Vorlauf(Tabelle1[[#This Row],[Anbieter]])</f>
        <v>6</v>
      </c>
      <c r="AA23" s="37">
        <f>IFERROR(EDATE(Tabelle1[[#This Row],[Vertragsende]], -Tabelle1[[#This Row],[Vorlauf]]) + 1, "")</f>
        <v>44484</v>
      </c>
      <c r="AB23" s="37">
        <f>IFERROR(EDATE(Tabelle1[[#This Row],[Vertragsende]], -Tabelle1[[#This Row],[Vorlauf]] - 1) + 1, "")</f>
        <v>44454</v>
      </c>
    </row>
    <row r="24" spans="1:28" x14ac:dyDescent="0.25">
      <c r="A24" s="35">
        <f t="shared" si="0"/>
        <v>21</v>
      </c>
      <c r="B24" s="16" t="s">
        <v>159</v>
      </c>
      <c r="C24" s="16" t="s">
        <v>160</v>
      </c>
      <c r="D24" s="16" t="s">
        <v>65</v>
      </c>
      <c r="E24" s="16" t="s">
        <v>66</v>
      </c>
      <c r="F24" s="16" t="s">
        <v>67</v>
      </c>
      <c r="G24" s="18"/>
      <c r="H24" s="18"/>
      <c r="I24" s="32">
        <v>44665</v>
      </c>
      <c r="J24" s="32">
        <v>44484</v>
      </c>
      <c r="K24" s="32">
        <v>44454</v>
      </c>
      <c r="L24" s="16"/>
      <c r="M24" s="16"/>
      <c r="N24" s="18" t="s">
        <v>313</v>
      </c>
      <c r="O24" s="22" t="s">
        <v>68</v>
      </c>
      <c r="P24" s="22" t="s">
        <v>161</v>
      </c>
      <c r="Q24" s="22"/>
      <c r="R24" s="22"/>
      <c r="S24" s="22"/>
      <c r="T24" s="33">
        <v>44614</v>
      </c>
      <c r="U24" s="19" t="s">
        <v>161</v>
      </c>
      <c r="V24" s="19"/>
      <c r="W24" s="20"/>
      <c r="X24" s="19"/>
      <c r="Y24" s="21">
        <v>165</v>
      </c>
      <c r="Z24" s="36" cm="1">
        <f t="array" ref="Z24">Vorlauf(Tabelle1[[#This Row],[Anbieter]])</f>
        <v>6</v>
      </c>
      <c r="AA24" s="37">
        <f>IFERROR(EDATE(Tabelle1[[#This Row],[Vertragsende]], -Tabelle1[[#This Row],[Vorlauf]]) + 1, "")</f>
        <v>44484</v>
      </c>
      <c r="AB24" s="37">
        <f>IFERROR(EDATE(Tabelle1[[#This Row],[Vertragsende]], -Tabelle1[[#This Row],[Vorlauf]] - 1) + 1, "")</f>
        <v>44454</v>
      </c>
    </row>
    <row r="25" spans="1:28" x14ac:dyDescent="0.25">
      <c r="A25" s="35">
        <f t="shared" si="0"/>
        <v>22</v>
      </c>
      <c r="B25" s="16" t="s">
        <v>162</v>
      </c>
      <c r="C25" s="16" t="s">
        <v>163</v>
      </c>
      <c r="D25" s="16" t="s">
        <v>65</v>
      </c>
      <c r="E25" s="16" t="s">
        <v>66</v>
      </c>
      <c r="F25" s="16" t="s">
        <v>67</v>
      </c>
      <c r="G25" s="18"/>
      <c r="H25" s="18"/>
      <c r="I25" s="32">
        <v>44665</v>
      </c>
      <c r="J25" s="32">
        <v>44484</v>
      </c>
      <c r="K25" s="32">
        <v>44454</v>
      </c>
      <c r="L25" s="16"/>
      <c r="M25" s="16"/>
      <c r="N25" s="18" t="s">
        <v>313</v>
      </c>
      <c r="O25" s="22" t="s">
        <v>68</v>
      </c>
      <c r="P25" s="22" t="s">
        <v>161</v>
      </c>
      <c r="Q25" s="22"/>
      <c r="R25" s="22"/>
      <c r="S25" s="22"/>
      <c r="T25" s="33">
        <v>44614</v>
      </c>
      <c r="U25" s="19" t="s">
        <v>161</v>
      </c>
      <c r="V25" s="19"/>
      <c r="W25" s="20"/>
      <c r="X25" s="19"/>
      <c r="Y25" s="21">
        <v>165</v>
      </c>
      <c r="Z25" s="36" cm="1">
        <f t="array" ref="Z25">Vorlauf(Tabelle1[[#This Row],[Anbieter]])</f>
        <v>6</v>
      </c>
      <c r="AA25" s="37">
        <f>IFERROR(EDATE(Tabelle1[[#This Row],[Vertragsende]], -Tabelle1[[#This Row],[Vorlauf]]) + 1, "")</f>
        <v>44484</v>
      </c>
      <c r="AB25" s="37">
        <f>IFERROR(EDATE(Tabelle1[[#This Row],[Vertragsende]], -Tabelle1[[#This Row],[Vorlauf]] - 1) + 1, "")</f>
        <v>44454</v>
      </c>
    </row>
    <row r="26" spans="1:28" x14ac:dyDescent="0.25">
      <c r="A26" s="35">
        <f t="shared" si="0"/>
        <v>23</v>
      </c>
      <c r="B26" s="16" t="s">
        <v>164</v>
      </c>
      <c r="C26" s="16" t="s">
        <v>165</v>
      </c>
      <c r="D26" s="16" t="s">
        <v>65</v>
      </c>
      <c r="E26" s="16" t="s">
        <v>66</v>
      </c>
      <c r="F26" s="16" t="s">
        <v>67</v>
      </c>
      <c r="G26" s="18"/>
      <c r="H26" s="18"/>
      <c r="I26" s="32">
        <v>44665</v>
      </c>
      <c r="J26" s="32">
        <v>44484</v>
      </c>
      <c r="K26" s="32">
        <v>44454</v>
      </c>
      <c r="L26" s="16"/>
      <c r="M26" s="16"/>
      <c r="N26" s="18" t="s">
        <v>313</v>
      </c>
      <c r="O26" s="22" t="s">
        <v>68</v>
      </c>
      <c r="P26" s="22" t="s">
        <v>69</v>
      </c>
      <c r="Q26" s="22"/>
      <c r="R26" s="22"/>
      <c r="S26" s="22"/>
      <c r="T26" s="33">
        <v>44614</v>
      </c>
      <c r="U26" s="19" t="s">
        <v>69</v>
      </c>
      <c r="V26" s="19"/>
      <c r="W26" s="20"/>
      <c r="X26" s="19"/>
      <c r="Y26" s="21">
        <v>125</v>
      </c>
      <c r="Z26" s="36" cm="1">
        <f t="array" ref="Z26">Vorlauf(Tabelle1[[#This Row],[Anbieter]])</f>
        <v>6</v>
      </c>
      <c r="AA26" s="37">
        <f>IFERROR(EDATE(Tabelle1[[#This Row],[Vertragsende]], -Tabelle1[[#This Row],[Vorlauf]]) + 1, "")</f>
        <v>44484</v>
      </c>
      <c r="AB26" s="37">
        <f>IFERROR(EDATE(Tabelle1[[#This Row],[Vertragsende]], -Tabelle1[[#This Row],[Vorlauf]] - 1) + 1, "")</f>
        <v>44454</v>
      </c>
    </row>
    <row r="27" spans="1:28" x14ac:dyDescent="0.25">
      <c r="A27" s="35">
        <f t="shared" si="0"/>
        <v>24</v>
      </c>
      <c r="B27" s="16" t="s">
        <v>166</v>
      </c>
      <c r="C27" s="16" t="s">
        <v>167</v>
      </c>
      <c r="D27" s="16" t="s">
        <v>65</v>
      </c>
      <c r="E27" s="16" t="s">
        <v>66</v>
      </c>
      <c r="F27" s="16" t="s">
        <v>67</v>
      </c>
      <c r="G27" s="18"/>
      <c r="H27" s="18"/>
      <c r="I27" s="32">
        <v>44665</v>
      </c>
      <c r="J27" s="32">
        <v>44484</v>
      </c>
      <c r="K27" s="32">
        <v>44454</v>
      </c>
      <c r="L27" s="16"/>
      <c r="M27" s="16"/>
      <c r="N27" s="18" t="s">
        <v>313</v>
      </c>
      <c r="O27" s="22" t="s">
        <v>68</v>
      </c>
      <c r="P27" s="22" t="s">
        <v>69</v>
      </c>
      <c r="Q27" s="22"/>
      <c r="R27" s="22"/>
      <c r="S27" s="22"/>
      <c r="T27" s="33">
        <v>44614</v>
      </c>
      <c r="U27" s="19" t="s">
        <v>69</v>
      </c>
      <c r="V27" s="19"/>
      <c r="W27" s="20"/>
      <c r="X27" s="19"/>
      <c r="Y27" s="21">
        <v>125</v>
      </c>
      <c r="Z27" s="36" cm="1">
        <f t="array" ref="Z27">Vorlauf(Tabelle1[[#This Row],[Anbieter]])</f>
        <v>6</v>
      </c>
      <c r="AA27" s="37">
        <f>IFERROR(EDATE(Tabelle1[[#This Row],[Vertragsende]], -Tabelle1[[#This Row],[Vorlauf]]) + 1, "")</f>
        <v>44484</v>
      </c>
      <c r="AB27" s="37">
        <f>IFERROR(EDATE(Tabelle1[[#This Row],[Vertragsende]], -Tabelle1[[#This Row],[Vorlauf]] - 1) + 1, "")</f>
        <v>44454</v>
      </c>
    </row>
    <row r="28" spans="1:28" x14ac:dyDescent="0.25">
      <c r="A28" s="35">
        <f t="shared" si="0"/>
        <v>25</v>
      </c>
      <c r="B28" s="16" t="s">
        <v>168</v>
      </c>
      <c r="C28" s="16" t="s">
        <v>169</v>
      </c>
      <c r="D28" s="16" t="s">
        <v>65</v>
      </c>
      <c r="E28" s="16" t="s">
        <v>66</v>
      </c>
      <c r="F28" s="16" t="s">
        <v>67</v>
      </c>
      <c r="G28" s="18"/>
      <c r="H28" s="18"/>
      <c r="I28" s="32">
        <v>44665</v>
      </c>
      <c r="J28" s="32">
        <v>44484</v>
      </c>
      <c r="K28" s="32">
        <v>44454</v>
      </c>
      <c r="L28" s="16"/>
      <c r="M28" s="16"/>
      <c r="N28" s="18" t="s">
        <v>313</v>
      </c>
      <c r="O28" s="22" t="s">
        <v>68</v>
      </c>
      <c r="P28" s="22" t="s">
        <v>69</v>
      </c>
      <c r="Q28" s="22"/>
      <c r="R28" s="22"/>
      <c r="S28" s="22"/>
      <c r="T28" s="33">
        <v>44614</v>
      </c>
      <c r="U28" s="19" t="s">
        <v>69</v>
      </c>
      <c r="V28" s="19"/>
      <c r="W28" s="20"/>
      <c r="X28" s="19"/>
      <c r="Y28" s="21">
        <v>125</v>
      </c>
      <c r="Z28" s="36" cm="1">
        <f t="array" ref="Z28">Vorlauf(Tabelle1[[#This Row],[Anbieter]])</f>
        <v>6</v>
      </c>
      <c r="AA28" s="37">
        <f>IFERROR(EDATE(Tabelle1[[#This Row],[Vertragsende]], -Tabelle1[[#This Row],[Vorlauf]]) + 1, "")</f>
        <v>44484</v>
      </c>
      <c r="AB28" s="37">
        <f>IFERROR(EDATE(Tabelle1[[#This Row],[Vertragsende]], -Tabelle1[[#This Row],[Vorlauf]] - 1) + 1, "")</f>
        <v>44454</v>
      </c>
    </row>
    <row r="29" spans="1:28" x14ac:dyDescent="0.25">
      <c r="A29" s="35">
        <f t="shared" si="0"/>
        <v>26</v>
      </c>
      <c r="B29" s="16" t="s">
        <v>170</v>
      </c>
      <c r="C29" s="16" t="s">
        <v>171</v>
      </c>
      <c r="D29" s="16" t="s">
        <v>65</v>
      </c>
      <c r="E29" s="16" t="s">
        <v>66</v>
      </c>
      <c r="F29" s="16" t="s">
        <v>67</v>
      </c>
      <c r="G29" s="18"/>
      <c r="H29" s="18"/>
      <c r="I29" s="32">
        <v>44665</v>
      </c>
      <c r="J29" s="32">
        <v>44484</v>
      </c>
      <c r="K29" s="32">
        <v>44454</v>
      </c>
      <c r="L29" s="16"/>
      <c r="M29" s="16"/>
      <c r="N29" s="18" t="s">
        <v>313</v>
      </c>
      <c r="O29" s="22" t="s">
        <v>68</v>
      </c>
      <c r="P29" s="22" t="s">
        <v>161</v>
      </c>
      <c r="Q29" s="22"/>
      <c r="R29" s="22"/>
      <c r="S29" s="22"/>
      <c r="T29" s="33">
        <v>44614</v>
      </c>
      <c r="U29" s="19" t="s">
        <v>161</v>
      </c>
      <c r="V29" s="19"/>
      <c r="W29" s="20"/>
      <c r="X29" s="19"/>
      <c r="Y29" s="21">
        <v>165</v>
      </c>
      <c r="Z29" s="36" cm="1">
        <f t="array" ref="Z29">Vorlauf(Tabelle1[[#This Row],[Anbieter]])</f>
        <v>6</v>
      </c>
      <c r="AA29" s="37">
        <f>IFERROR(EDATE(Tabelle1[[#This Row],[Vertragsende]], -Tabelle1[[#This Row],[Vorlauf]]) + 1, "")</f>
        <v>44484</v>
      </c>
      <c r="AB29" s="37">
        <f>IFERROR(EDATE(Tabelle1[[#This Row],[Vertragsende]], -Tabelle1[[#This Row],[Vorlauf]] - 1) + 1, "")</f>
        <v>44454</v>
      </c>
    </row>
    <row r="30" spans="1:28" x14ac:dyDescent="0.25">
      <c r="A30" s="35">
        <f t="shared" si="0"/>
        <v>27</v>
      </c>
      <c r="B30" s="16" t="s">
        <v>172</v>
      </c>
      <c r="C30" s="16" t="s">
        <v>173</v>
      </c>
      <c r="D30" s="16" t="s">
        <v>65</v>
      </c>
      <c r="E30" s="16" t="s">
        <v>66</v>
      </c>
      <c r="F30" s="16" t="s">
        <v>67</v>
      </c>
      <c r="G30" s="18"/>
      <c r="H30" s="18"/>
      <c r="I30" s="32">
        <v>44665</v>
      </c>
      <c r="J30" s="32">
        <v>44484</v>
      </c>
      <c r="K30" s="32">
        <v>44454</v>
      </c>
      <c r="L30" s="16"/>
      <c r="M30" s="16"/>
      <c r="N30" s="18" t="s">
        <v>313</v>
      </c>
      <c r="O30" s="22" t="s">
        <v>68</v>
      </c>
      <c r="P30" s="22" t="s">
        <v>69</v>
      </c>
      <c r="Q30" s="22"/>
      <c r="R30" s="22"/>
      <c r="S30" s="22"/>
      <c r="T30" s="33">
        <v>44614</v>
      </c>
      <c r="U30" s="19" t="s">
        <v>69</v>
      </c>
      <c r="V30" s="19"/>
      <c r="W30" s="20"/>
      <c r="X30" s="19"/>
      <c r="Y30" s="21">
        <v>125</v>
      </c>
      <c r="Z30" s="36" cm="1">
        <f t="array" ref="Z30">Vorlauf(Tabelle1[[#This Row],[Anbieter]])</f>
        <v>6</v>
      </c>
      <c r="AA30" s="37">
        <f>IFERROR(EDATE(Tabelle1[[#This Row],[Vertragsende]], -Tabelle1[[#This Row],[Vorlauf]]) + 1, "")</f>
        <v>44484</v>
      </c>
      <c r="AB30" s="37">
        <f>IFERROR(EDATE(Tabelle1[[#This Row],[Vertragsende]], -Tabelle1[[#This Row],[Vorlauf]] - 1) + 1, "")</f>
        <v>44454</v>
      </c>
    </row>
    <row r="31" spans="1:28" x14ac:dyDescent="0.25">
      <c r="A31" s="35">
        <f t="shared" si="0"/>
        <v>28</v>
      </c>
      <c r="B31" s="16" t="s">
        <v>174</v>
      </c>
      <c r="C31" s="16" t="s">
        <v>175</v>
      </c>
      <c r="D31" s="16" t="s">
        <v>65</v>
      </c>
      <c r="E31" s="16" t="s">
        <v>66</v>
      </c>
      <c r="F31" s="16" t="s">
        <v>67</v>
      </c>
      <c r="G31" s="18"/>
      <c r="H31" s="18"/>
      <c r="I31" s="32">
        <v>44665</v>
      </c>
      <c r="J31" s="32">
        <v>44484</v>
      </c>
      <c r="K31" s="32">
        <v>44454</v>
      </c>
      <c r="L31" s="16"/>
      <c r="M31" s="16"/>
      <c r="N31" s="18" t="s">
        <v>313</v>
      </c>
      <c r="O31" s="22" t="s">
        <v>68</v>
      </c>
      <c r="P31" s="22" t="s">
        <v>69</v>
      </c>
      <c r="Q31" s="22"/>
      <c r="R31" s="22"/>
      <c r="S31" s="22"/>
      <c r="T31" s="33">
        <v>44614</v>
      </c>
      <c r="U31" s="19" t="s">
        <v>69</v>
      </c>
      <c r="V31" s="19"/>
      <c r="W31" s="20"/>
      <c r="X31" s="19"/>
      <c r="Y31" s="21">
        <v>125</v>
      </c>
      <c r="Z31" s="36" cm="1">
        <f t="array" ref="Z31">Vorlauf(Tabelle1[[#This Row],[Anbieter]])</f>
        <v>6</v>
      </c>
      <c r="AA31" s="37">
        <f>IFERROR(EDATE(Tabelle1[[#This Row],[Vertragsende]], -Tabelle1[[#This Row],[Vorlauf]]) + 1, "")</f>
        <v>44484</v>
      </c>
      <c r="AB31" s="37">
        <f>IFERROR(EDATE(Tabelle1[[#This Row],[Vertragsende]], -Tabelle1[[#This Row],[Vorlauf]] - 1) + 1, "")</f>
        <v>44454</v>
      </c>
    </row>
    <row r="32" spans="1:28" x14ac:dyDescent="0.25">
      <c r="A32" s="35">
        <f t="shared" si="0"/>
        <v>29</v>
      </c>
      <c r="B32" s="16" t="s">
        <v>176</v>
      </c>
      <c r="C32" s="16" t="s">
        <v>177</v>
      </c>
      <c r="D32" s="16" t="s">
        <v>65</v>
      </c>
      <c r="E32" s="16" t="s">
        <v>66</v>
      </c>
      <c r="F32" s="16" t="s">
        <v>67</v>
      </c>
      <c r="G32" s="18"/>
      <c r="H32" s="18"/>
      <c r="I32" s="32">
        <v>44665</v>
      </c>
      <c r="J32" s="32">
        <v>44484</v>
      </c>
      <c r="K32" s="32">
        <v>44454</v>
      </c>
      <c r="L32" s="16"/>
      <c r="M32" s="16"/>
      <c r="N32" s="18" t="s">
        <v>313</v>
      </c>
      <c r="O32" s="22" t="s">
        <v>68</v>
      </c>
      <c r="P32" s="22" t="s">
        <v>69</v>
      </c>
      <c r="Q32" s="22"/>
      <c r="R32" s="22"/>
      <c r="S32" s="22"/>
      <c r="T32" s="33">
        <v>44614</v>
      </c>
      <c r="U32" s="19" t="s">
        <v>69</v>
      </c>
      <c r="V32" s="19"/>
      <c r="W32" s="20"/>
      <c r="X32" s="19"/>
      <c r="Y32" s="21">
        <v>125</v>
      </c>
      <c r="Z32" s="36" cm="1">
        <f t="array" ref="Z32">Vorlauf(Tabelle1[[#This Row],[Anbieter]])</f>
        <v>6</v>
      </c>
      <c r="AA32" s="37">
        <f>IFERROR(EDATE(Tabelle1[[#This Row],[Vertragsende]], -Tabelle1[[#This Row],[Vorlauf]]) + 1, "")</f>
        <v>44484</v>
      </c>
      <c r="AB32" s="37">
        <f>IFERROR(EDATE(Tabelle1[[#This Row],[Vertragsende]], -Tabelle1[[#This Row],[Vorlauf]] - 1) + 1, "")</f>
        <v>44454</v>
      </c>
    </row>
    <row r="33" spans="1:28" x14ac:dyDescent="0.25">
      <c r="A33" s="35">
        <f t="shared" si="0"/>
        <v>30</v>
      </c>
      <c r="B33" s="16" t="s">
        <v>178</v>
      </c>
      <c r="C33" s="16" t="s">
        <v>179</v>
      </c>
      <c r="D33" s="16" t="s">
        <v>65</v>
      </c>
      <c r="E33" s="16" t="s">
        <v>66</v>
      </c>
      <c r="F33" s="16" t="s">
        <v>67</v>
      </c>
      <c r="G33" s="18"/>
      <c r="H33" s="18"/>
      <c r="I33" s="32">
        <v>44665</v>
      </c>
      <c r="J33" s="32">
        <v>44484</v>
      </c>
      <c r="K33" s="32">
        <v>44454</v>
      </c>
      <c r="L33" s="16"/>
      <c r="M33" s="16"/>
      <c r="N33" s="18" t="s">
        <v>313</v>
      </c>
      <c r="O33" s="22" t="s">
        <v>68</v>
      </c>
      <c r="P33" s="22" t="s">
        <v>69</v>
      </c>
      <c r="Q33" s="22"/>
      <c r="R33" s="22"/>
      <c r="S33" s="22"/>
      <c r="T33" s="33">
        <v>44614</v>
      </c>
      <c r="U33" s="19" t="s">
        <v>69</v>
      </c>
      <c r="V33" s="19"/>
      <c r="W33" s="20"/>
      <c r="X33" s="19"/>
      <c r="Y33" s="21">
        <v>125</v>
      </c>
      <c r="Z33" s="36" cm="1">
        <f t="array" ref="Z33">Vorlauf(Tabelle1[[#This Row],[Anbieter]])</f>
        <v>6</v>
      </c>
      <c r="AA33" s="37">
        <f>IFERROR(EDATE(Tabelle1[[#This Row],[Vertragsende]], -Tabelle1[[#This Row],[Vorlauf]]) + 1, "")</f>
        <v>44484</v>
      </c>
      <c r="AB33" s="37">
        <f>IFERROR(EDATE(Tabelle1[[#This Row],[Vertragsende]], -Tabelle1[[#This Row],[Vorlauf]] - 1) + 1, "")</f>
        <v>44454</v>
      </c>
    </row>
    <row r="34" spans="1:28" x14ac:dyDescent="0.25">
      <c r="A34" s="35">
        <f t="shared" si="0"/>
        <v>31</v>
      </c>
      <c r="B34" s="16" t="s">
        <v>180</v>
      </c>
      <c r="C34" s="16" t="s">
        <v>181</v>
      </c>
      <c r="D34" s="16" t="s">
        <v>65</v>
      </c>
      <c r="E34" s="16" t="s">
        <v>66</v>
      </c>
      <c r="F34" s="16" t="s">
        <v>67</v>
      </c>
      <c r="G34" s="18"/>
      <c r="H34" s="18"/>
      <c r="I34" s="32">
        <v>44665</v>
      </c>
      <c r="J34" s="32">
        <v>44484</v>
      </c>
      <c r="K34" s="32">
        <v>44454</v>
      </c>
      <c r="L34" s="16"/>
      <c r="M34" s="16"/>
      <c r="N34" s="18" t="s">
        <v>313</v>
      </c>
      <c r="O34" s="22" t="s">
        <v>68</v>
      </c>
      <c r="P34" s="22" t="s">
        <v>161</v>
      </c>
      <c r="Q34" s="22"/>
      <c r="R34" s="22"/>
      <c r="S34" s="22"/>
      <c r="T34" s="33">
        <v>44614</v>
      </c>
      <c r="U34" s="19" t="s">
        <v>161</v>
      </c>
      <c r="V34" s="19"/>
      <c r="W34" s="20"/>
      <c r="X34" s="19"/>
      <c r="Y34" s="21">
        <v>165</v>
      </c>
      <c r="Z34" s="36" cm="1">
        <f t="array" ref="Z34">Vorlauf(Tabelle1[[#This Row],[Anbieter]])</f>
        <v>6</v>
      </c>
      <c r="AA34" s="37">
        <f>IFERROR(EDATE(Tabelle1[[#This Row],[Vertragsende]], -Tabelle1[[#This Row],[Vorlauf]]) + 1, "")</f>
        <v>44484</v>
      </c>
      <c r="AB34" s="37">
        <f>IFERROR(EDATE(Tabelle1[[#This Row],[Vertragsende]], -Tabelle1[[#This Row],[Vorlauf]] - 1) + 1, "")</f>
        <v>44454</v>
      </c>
    </row>
    <row r="35" spans="1:28" x14ac:dyDescent="0.25">
      <c r="A35" s="35">
        <f t="shared" si="0"/>
        <v>32</v>
      </c>
      <c r="B35" s="16" t="s">
        <v>182</v>
      </c>
      <c r="C35" s="16" t="s">
        <v>183</v>
      </c>
      <c r="D35" s="16" t="s">
        <v>65</v>
      </c>
      <c r="E35" s="16" t="s">
        <v>66</v>
      </c>
      <c r="F35" s="16" t="s">
        <v>67</v>
      </c>
      <c r="G35" s="18"/>
      <c r="H35" s="18"/>
      <c r="I35" s="32">
        <v>44665</v>
      </c>
      <c r="J35" s="32">
        <v>44484</v>
      </c>
      <c r="K35" s="32">
        <v>44454</v>
      </c>
      <c r="L35" s="16"/>
      <c r="M35" s="16"/>
      <c r="N35" s="18" t="s">
        <v>313</v>
      </c>
      <c r="O35" s="22" t="s">
        <v>68</v>
      </c>
      <c r="P35" s="22" t="s">
        <v>69</v>
      </c>
      <c r="Q35" s="22"/>
      <c r="R35" s="22"/>
      <c r="S35" s="22"/>
      <c r="T35" s="33">
        <v>44614</v>
      </c>
      <c r="U35" s="19" t="s">
        <v>69</v>
      </c>
      <c r="V35" s="19"/>
      <c r="W35" s="20"/>
      <c r="X35" s="19"/>
      <c r="Y35" s="21">
        <v>125</v>
      </c>
      <c r="Z35" s="36" cm="1">
        <f t="array" ref="Z35">Vorlauf(Tabelle1[[#This Row],[Anbieter]])</f>
        <v>6</v>
      </c>
      <c r="AA35" s="37">
        <f>IFERROR(EDATE(Tabelle1[[#This Row],[Vertragsende]], -Tabelle1[[#This Row],[Vorlauf]]) + 1, "")</f>
        <v>44484</v>
      </c>
      <c r="AB35" s="37">
        <f>IFERROR(EDATE(Tabelle1[[#This Row],[Vertragsende]], -Tabelle1[[#This Row],[Vorlauf]] - 1) + 1, "")</f>
        <v>44454</v>
      </c>
    </row>
    <row r="36" spans="1:28" x14ac:dyDescent="0.25">
      <c r="A36" s="35">
        <f t="shared" ref="A36:A67" si="1">ROW()-3</f>
        <v>33</v>
      </c>
      <c r="B36" s="16" t="s">
        <v>184</v>
      </c>
      <c r="C36" s="16" t="s">
        <v>185</v>
      </c>
      <c r="D36" s="16" t="s">
        <v>65</v>
      </c>
      <c r="E36" s="16" t="s">
        <v>66</v>
      </c>
      <c r="F36" s="16" t="s">
        <v>67</v>
      </c>
      <c r="G36" s="18"/>
      <c r="H36" s="18"/>
      <c r="I36" s="32">
        <v>44665</v>
      </c>
      <c r="J36" s="32">
        <v>44484</v>
      </c>
      <c r="K36" s="32">
        <v>44454</v>
      </c>
      <c r="L36" s="16"/>
      <c r="M36" s="16"/>
      <c r="N36" s="18" t="s">
        <v>313</v>
      </c>
      <c r="O36" s="22" t="s">
        <v>68</v>
      </c>
      <c r="P36" s="22" t="s">
        <v>69</v>
      </c>
      <c r="Q36" s="22"/>
      <c r="R36" s="22"/>
      <c r="S36" s="22"/>
      <c r="T36" s="33">
        <v>44614</v>
      </c>
      <c r="U36" s="19" t="s">
        <v>69</v>
      </c>
      <c r="V36" s="19"/>
      <c r="W36" s="20"/>
      <c r="X36" s="19"/>
      <c r="Y36" s="21">
        <v>125</v>
      </c>
      <c r="Z36" s="36" cm="1">
        <f t="array" ref="Z36">Vorlauf(Tabelle1[[#This Row],[Anbieter]])</f>
        <v>6</v>
      </c>
      <c r="AA36" s="37">
        <f>IFERROR(EDATE(Tabelle1[[#This Row],[Vertragsende]], -Tabelle1[[#This Row],[Vorlauf]]) + 1, "")</f>
        <v>44484</v>
      </c>
      <c r="AB36" s="37">
        <f>IFERROR(EDATE(Tabelle1[[#This Row],[Vertragsende]], -Tabelle1[[#This Row],[Vorlauf]] - 1) + 1, "")</f>
        <v>44454</v>
      </c>
    </row>
    <row r="37" spans="1:28" x14ac:dyDescent="0.25">
      <c r="A37" s="35">
        <f t="shared" si="1"/>
        <v>34</v>
      </c>
      <c r="B37" s="16" t="s">
        <v>186</v>
      </c>
      <c r="C37" s="16" t="s">
        <v>187</v>
      </c>
      <c r="D37" s="16" t="s">
        <v>65</v>
      </c>
      <c r="E37" s="16" t="s">
        <v>66</v>
      </c>
      <c r="F37" s="16" t="s">
        <v>67</v>
      </c>
      <c r="G37" s="18"/>
      <c r="H37" s="18"/>
      <c r="I37" s="32">
        <v>44665</v>
      </c>
      <c r="J37" s="32">
        <v>44484</v>
      </c>
      <c r="K37" s="32">
        <v>44454</v>
      </c>
      <c r="L37" s="16"/>
      <c r="M37" s="16"/>
      <c r="N37" s="18" t="s">
        <v>313</v>
      </c>
      <c r="O37" s="22" t="s">
        <v>68</v>
      </c>
      <c r="P37" s="22" t="s">
        <v>69</v>
      </c>
      <c r="Q37" s="22"/>
      <c r="R37" s="22"/>
      <c r="S37" s="22"/>
      <c r="T37" s="33">
        <v>44614</v>
      </c>
      <c r="U37" s="19" t="s">
        <v>69</v>
      </c>
      <c r="V37" s="19"/>
      <c r="W37" s="20"/>
      <c r="X37" s="19"/>
      <c r="Y37" s="21">
        <v>125</v>
      </c>
      <c r="Z37" s="36" cm="1">
        <f t="array" ref="Z37">Vorlauf(Tabelle1[[#This Row],[Anbieter]])</f>
        <v>6</v>
      </c>
      <c r="AA37" s="37">
        <f>IFERROR(EDATE(Tabelle1[[#This Row],[Vertragsende]], -Tabelle1[[#This Row],[Vorlauf]]) + 1, "")</f>
        <v>44484</v>
      </c>
      <c r="AB37" s="37">
        <f>IFERROR(EDATE(Tabelle1[[#This Row],[Vertragsende]], -Tabelle1[[#This Row],[Vorlauf]] - 1) + 1, "")</f>
        <v>44454</v>
      </c>
    </row>
    <row r="38" spans="1:28" x14ac:dyDescent="0.25">
      <c r="A38" s="35">
        <f t="shared" si="1"/>
        <v>35</v>
      </c>
      <c r="B38" s="16" t="s">
        <v>188</v>
      </c>
      <c r="C38" s="16" t="s">
        <v>189</v>
      </c>
      <c r="D38" s="16" t="s">
        <v>65</v>
      </c>
      <c r="E38" s="16" t="s">
        <v>66</v>
      </c>
      <c r="F38" s="16" t="s">
        <v>67</v>
      </c>
      <c r="G38" s="18"/>
      <c r="H38" s="18"/>
      <c r="I38" s="32">
        <v>44665</v>
      </c>
      <c r="J38" s="32">
        <v>44484</v>
      </c>
      <c r="K38" s="32">
        <v>44454</v>
      </c>
      <c r="L38" s="16"/>
      <c r="M38" s="16"/>
      <c r="N38" s="18" t="s">
        <v>313</v>
      </c>
      <c r="O38" s="22" t="s">
        <v>68</v>
      </c>
      <c r="P38" s="22" t="s">
        <v>161</v>
      </c>
      <c r="Q38" s="22"/>
      <c r="R38" s="22"/>
      <c r="S38" s="22"/>
      <c r="T38" s="33">
        <v>44614</v>
      </c>
      <c r="U38" s="19" t="s">
        <v>161</v>
      </c>
      <c r="V38" s="19"/>
      <c r="W38" s="20"/>
      <c r="X38" s="19"/>
      <c r="Y38" s="21">
        <v>165</v>
      </c>
      <c r="Z38" s="36" cm="1">
        <f t="array" ref="Z38">Vorlauf(Tabelle1[[#This Row],[Anbieter]])</f>
        <v>6</v>
      </c>
      <c r="AA38" s="37">
        <f>IFERROR(EDATE(Tabelle1[[#This Row],[Vertragsende]], -Tabelle1[[#This Row],[Vorlauf]]) + 1, "")</f>
        <v>44484</v>
      </c>
      <c r="AB38" s="37">
        <f>IFERROR(EDATE(Tabelle1[[#This Row],[Vertragsende]], -Tabelle1[[#This Row],[Vorlauf]] - 1) + 1, "")</f>
        <v>44454</v>
      </c>
    </row>
    <row r="39" spans="1:28" x14ac:dyDescent="0.25">
      <c r="A39" s="35">
        <f t="shared" si="1"/>
        <v>36</v>
      </c>
      <c r="B39" s="16" t="s">
        <v>190</v>
      </c>
      <c r="C39" s="16" t="s">
        <v>191</v>
      </c>
      <c r="D39" s="16" t="s">
        <v>65</v>
      </c>
      <c r="E39" s="16" t="s">
        <v>66</v>
      </c>
      <c r="F39" s="16" t="s">
        <v>67</v>
      </c>
      <c r="G39" s="18"/>
      <c r="H39" s="18"/>
      <c r="I39" s="32">
        <v>44665</v>
      </c>
      <c r="J39" s="32">
        <v>44484</v>
      </c>
      <c r="K39" s="32">
        <v>44454</v>
      </c>
      <c r="L39" s="16"/>
      <c r="M39" s="16"/>
      <c r="N39" s="18" t="s">
        <v>313</v>
      </c>
      <c r="O39" s="22" t="s">
        <v>68</v>
      </c>
      <c r="P39" s="22" t="s">
        <v>161</v>
      </c>
      <c r="Q39" s="22"/>
      <c r="R39" s="22"/>
      <c r="S39" s="22"/>
      <c r="T39" s="33">
        <v>44614</v>
      </c>
      <c r="U39" s="19" t="s">
        <v>161</v>
      </c>
      <c r="V39" s="19"/>
      <c r="W39" s="20"/>
      <c r="X39" s="19"/>
      <c r="Y39" s="21">
        <v>165</v>
      </c>
      <c r="Z39" s="36" cm="1">
        <f t="array" ref="Z39">Vorlauf(Tabelle1[[#This Row],[Anbieter]])</f>
        <v>6</v>
      </c>
      <c r="AA39" s="37">
        <f>IFERROR(EDATE(Tabelle1[[#This Row],[Vertragsende]], -Tabelle1[[#This Row],[Vorlauf]]) + 1, "")</f>
        <v>44484</v>
      </c>
      <c r="AB39" s="37">
        <f>IFERROR(EDATE(Tabelle1[[#This Row],[Vertragsende]], -Tabelle1[[#This Row],[Vorlauf]] - 1) + 1, "")</f>
        <v>44454</v>
      </c>
    </row>
    <row r="40" spans="1:28" x14ac:dyDescent="0.25">
      <c r="A40" s="35">
        <f t="shared" si="1"/>
        <v>37</v>
      </c>
      <c r="B40" s="16" t="s">
        <v>192</v>
      </c>
      <c r="C40" s="16" t="s">
        <v>193</v>
      </c>
      <c r="D40" s="16" t="s">
        <v>65</v>
      </c>
      <c r="E40" s="16" t="s">
        <v>66</v>
      </c>
      <c r="F40" s="16" t="s">
        <v>67</v>
      </c>
      <c r="G40" s="18"/>
      <c r="H40" s="18"/>
      <c r="I40" s="32">
        <v>44665</v>
      </c>
      <c r="J40" s="32">
        <v>44484</v>
      </c>
      <c r="K40" s="32">
        <v>44454</v>
      </c>
      <c r="L40" s="16"/>
      <c r="M40" s="16"/>
      <c r="N40" s="18" t="s">
        <v>313</v>
      </c>
      <c r="O40" s="22" t="s">
        <v>68</v>
      </c>
      <c r="P40" s="22" t="s">
        <v>69</v>
      </c>
      <c r="Q40" s="22"/>
      <c r="R40" s="22"/>
      <c r="S40" s="22"/>
      <c r="T40" s="33">
        <v>44614</v>
      </c>
      <c r="U40" s="19" t="s">
        <v>69</v>
      </c>
      <c r="V40" s="19"/>
      <c r="W40" s="20"/>
      <c r="X40" s="19"/>
      <c r="Y40" s="21">
        <v>125</v>
      </c>
      <c r="Z40" s="36" cm="1">
        <f t="array" ref="Z40">Vorlauf(Tabelle1[[#This Row],[Anbieter]])</f>
        <v>6</v>
      </c>
      <c r="AA40" s="37">
        <f>IFERROR(EDATE(Tabelle1[[#This Row],[Vertragsende]], -Tabelle1[[#This Row],[Vorlauf]]) + 1, "")</f>
        <v>44484</v>
      </c>
      <c r="AB40" s="37">
        <f>IFERROR(EDATE(Tabelle1[[#This Row],[Vertragsende]], -Tabelle1[[#This Row],[Vorlauf]] - 1) + 1, "")</f>
        <v>44454</v>
      </c>
    </row>
    <row r="41" spans="1:28" x14ac:dyDescent="0.25">
      <c r="A41" s="35">
        <f t="shared" si="1"/>
        <v>38</v>
      </c>
      <c r="B41" s="16" t="s">
        <v>194</v>
      </c>
      <c r="C41" s="16" t="s">
        <v>195</v>
      </c>
      <c r="D41" s="16" t="s">
        <v>65</v>
      </c>
      <c r="E41" s="16" t="s">
        <v>66</v>
      </c>
      <c r="F41" s="16" t="s">
        <v>67</v>
      </c>
      <c r="G41" s="18"/>
      <c r="H41" s="18"/>
      <c r="I41" s="32">
        <v>44665</v>
      </c>
      <c r="J41" s="32">
        <v>44484</v>
      </c>
      <c r="K41" s="32">
        <v>44454</v>
      </c>
      <c r="L41" s="16"/>
      <c r="M41" s="16"/>
      <c r="N41" s="18" t="s">
        <v>313</v>
      </c>
      <c r="O41" s="22" t="s">
        <v>68</v>
      </c>
      <c r="P41" s="22" t="s">
        <v>69</v>
      </c>
      <c r="Q41" s="22"/>
      <c r="R41" s="22"/>
      <c r="S41" s="22"/>
      <c r="T41" s="33">
        <v>44614</v>
      </c>
      <c r="U41" s="19" t="s">
        <v>69</v>
      </c>
      <c r="V41" s="19"/>
      <c r="W41" s="20"/>
      <c r="X41" s="19"/>
      <c r="Y41" s="21">
        <v>125</v>
      </c>
      <c r="Z41" s="36" cm="1">
        <f t="array" ref="Z41">Vorlauf(Tabelle1[[#This Row],[Anbieter]])</f>
        <v>6</v>
      </c>
      <c r="AA41" s="37">
        <f>IFERROR(EDATE(Tabelle1[[#This Row],[Vertragsende]], -Tabelle1[[#This Row],[Vorlauf]]) + 1, "")</f>
        <v>44484</v>
      </c>
      <c r="AB41" s="37">
        <f>IFERROR(EDATE(Tabelle1[[#This Row],[Vertragsende]], -Tabelle1[[#This Row],[Vorlauf]] - 1) + 1, "")</f>
        <v>44454</v>
      </c>
    </row>
    <row r="42" spans="1:28" x14ac:dyDescent="0.25">
      <c r="A42" s="35">
        <f t="shared" si="1"/>
        <v>39</v>
      </c>
      <c r="B42" s="16" t="s">
        <v>196</v>
      </c>
      <c r="C42" s="16" t="s">
        <v>197</v>
      </c>
      <c r="D42" s="16" t="s">
        <v>65</v>
      </c>
      <c r="E42" s="16" t="s">
        <v>66</v>
      </c>
      <c r="F42" s="16" t="s">
        <v>67</v>
      </c>
      <c r="G42" s="18"/>
      <c r="H42" s="18"/>
      <c r="I42" s="32">
        <v>44665</v>
      </c>
      <c r="J42" s="32">
        <v>44484</v>
      </c>
      <c r="K42" s="32">
        <v>44454</v>
      </c>
      <c r="L42" s="16"/>
      <c r="M42" s="16"/>
      <c r="N42" s="18" t="s">
        <v>313</v>
      </c>
      <c r="O42" s="22" t="s">
        <v>68</v>
      </c>
      <c r="P42" s="22" t="s">
        <v>69</v>
      </c>
      <c r="Q42" s="22"/>
      <c r="R42" s="22"/>
      <c r="S42" s="22"/>
      <c r="T42" s="33">
        <v>44614</v>
      </c>
      <c r="U42" s="19" t="s">
        <v>69</v>
      </c>
      <c r="V42" s="19"/>
      <c r="W42" s="20"/>
      <c r="X42" s="19"/>
      <c r="Y42" s="21">
        <v>125</v>
      </c>
      <c r="Z42" s="36" cm="1">
        <f t="array" ref="Z42">Vorlauf(Tabelle1[[#This Row],[Anbieter]])</f>
        <v>6</v>
      </c>
      <c r="AA42" s="37">
        <f>IFERROR(EDATE(Tabelle1[[#This Row],[Vertragsende]], -Tabelle1[[#This Row],[Vorlauf]]) + 1, "")</f>
        <v>44484</v>
      </c>
      <c r="AB42" s="37">
        <f>IFERROR(EDATE(Tabelle1[[#This Row],[Vertragsende]], -Tabelle1[[#This Row],[Vorlauf]] - 1) + 1, "")</f>
        <v>44454</v>
      </c>
    </row>
    <row r="43" spans="1:28" x14ac:dyDescent="0.25">
      <c r="A43" s="35">
        <f t="shared" si="1"/>
        <v>40</v>
      </c>
      <c r="B43" s="16" t="s">
        <v>198</v>
      </c>
      <c r="C43" s="16" t="s">
        <v>199</v>
      </c>
      <c r="D43" s="16" t="s">
        <v>65</v>
      </c>
      <c r="E43" s="16" t="s">
        <v>66</v>
      </c>
      <c r="F43" s="16" t="s">
        <v>67</v>
      </c>
      <c r="G43" s="18"/>
      <c r="H43" s="18"/>
      <c r="I43" s="32">
        <v>44665</v>
      </c>
      <c r="J43" s="32">
        <v>44484</v>
      </c>
      <c r="K43" s="32">
        <v>44454</v>
      </c>
      <c r="L43" s="16"/>
      <c r="M43" s="16"/>
      <c r="N43" s="18" t="s">
        <v>313</v>
      </c>
      <c r="O43" s="22" t="s">
        <v>68</v>
      </c>
      <c r="P43" s="22" t="s">
        <v>69</v>
      </c>
      <c r="Q43" s="22"/>
      <c r="R43" s="22"/>
      <c r="S43" s="22"/>
      <c r="T43" s="33">
        <v>44614</v>
      </c>
      <c r="U43" s="19" t="s">
        <v>69</v>
      </c>
      <c r="V43" s="19"/>
      <c r="W43" s="20"/>
      <c r="X43" s="19"/>
      <c r="Y43" s="21">
        <v>125</v>
      </c>
      <c r="Z43" s="36" cm="1">
        <f t="array" ref="Z43">Vorlauf(Tabelle1[[#This Row],[Anbieter]])</f>
        <v>6</v>
      </c>
      <c r="AA43" s="37">
        <f>IFERROR(EDATE(Tabelle1[[#This Row],[Vertragsende]], -Tabelle1[[#This Row],[Vorlauf]]) + 1, "")</f>
        <v>44484</v>
      </c>
      <c r="AB43" s="37">
        <f>IFERROR(EDATE(Tabelle1[[#This Row],[Vertragsende]], -Tabelle1[[#This Row],[Vorlauf]] - 1) + 1, "")</f>
        <v>44454</v>
      </c>
    </row>
    <row r="44" spans="1:28" x14ac:dyDescent="0.25">
      <c r="A44" s="35">
        <f t="shared" si="1"/>
        <v>41</v>
      </c>
      <c r="B44" s="16" t="s">
        <v>200</v>
      </c>
      <c r="C44" s="16" t="s">
        <v>201</v>
      </c>
      <c r="D44" s="16" t="s">
        <v>65</v>
      </c>
      <c r="E44" s="16" t="s">
        <v>66</v>
      </c>
      <c r="F44" s="16" t="s">
        <v>67</v>
      </c>
      <c r="G44" s="18"/>
      <c r="H44" s="18"/>
      <c r="I44" s="32">
        <v>44665</v>
      </c>
      <c r="J44" s="32">
        <v>44484</v>
      </c>
      <c r="K44" s="32">
        <v>44454</v>
      </c>
      <c r="L44" s="16"/>
      <c r="M44" s="16"/>
      <c r="N44" s="18" t="s">
        <v>313</v>
      </c>
      <c r="O44" s="22" t="s">
        <v>68</v>
      </c>
      <c r="P44" s="22" t="s">
        <v>69</v>
      </c>
      <c r="Q44" s="22"/>
      <c r="R44" s="22"/>
      <c r="S44" s="22"/>
      <c r="T44" s="33">
        <v>44614</v>
      </c>
      <c r="U44" s="19" t="s">
        <v>69</v>
      </c>
      <c r="V44" s="19"/>
      <c r="W44" s="20"/>
      <c r="X44" s="19"/>
      <c r="Y44" s="21">
        <v>125</v>
      </c>
      <c r="Z44" s="36" cm="1">
        <f t="array" ref="Z44">Vorlauf(Tabelle1[[#This Row],[Anbieter]])</f>
        <v>6</v>
      </c>
      <c r="AA44" s="37">
        <f>IFERROR(EDATE(Tabelle1[[#This Row],[Vertragsende]], -Tabelle1[[#This Row],[Vorlauf]]) + 1, "")</f>
        <v>44484</v>
      </c>
      <c r="AB44" s="37">
        <f>IFERROR(EDATE(Tabelle1[[#This Row],[Vertragsende]], -Tabelle1[[#This Row],[Vorlauf]] - 1) + 1, "")</f>
        <v>44454</v>
      </c>
    </row>
    <row r="45" spans="1:28" x14ac:dyDescent="0.25">
      <c r="A45" s="35">
        <f t="shared" si="1"/>
        <v>42</v>
      </c>
      <c r="B45" s="16" t="s">
        <v>202</v>
      </c>
      <c r="C45" s="16" t="s">
        <v>203</v>
      </c>
      <c r="D45" s="16" t="s">
        <v>65</v>
      </c>
      <c r="E45" s="16" t="s">
        <v>66</v>
      </c>
      <c r="F45" s="16" t="s">
        <v>67</v>
      </c>
      <c r="G45" s="18"/>
      <c r="H45" s="18"/>
      <c r="I45" s="32">
        <v>44665</v>
      </c>
      <c r="J45" s="32">
        <v>44484</v>
      </c>
      <c r="K45" s="32">
        <v>44454</v>
      </c>
      <c r="L45" s="16"/>
      <c r="M45" s="16"/>
      <c r="N45" s="18" t="s">
        <v>313</v>
      </c>
      <c r="O45" s="22" t="s">
        <v>68</v>
      </c>
      <c r="P45" s="22" t="s">
        <v>69</v>
      </c>
      <c r="Q45" s="22"/>
      <c r="R45" s="22"/>
      <c r="S45" s="22"/>
      <c r="T45" s="33">
        <v>44614</v>
      </c>
      <c r="U45" s="19" t="s">
        <v>69</v>
      </c>
      <c r="V45" s="19"/>
      <c r="W45" s="20"/>
      <c r="X45" s="19"/>
      <c r="Y45" s="21">
        <v>125</v>
      </c>
      <c r="Z45" s="36" cm="1">
        <f t="array" ref="Z45">Vorlauf(Tabelle1[[#This Row],[Anbieter]])</f>
        <v>6</v>
      </c>
      <c r="AA45" s="37">
        <f>IFERROR(EDATE(Tabelle1[[#This Row],[Vertragsende]], -Tabelle1[[#This Row],[Vorlauf]]) + 1, "")</f>
        <v>44484</v>
      </c>
      <c r="AB45" s="37">
        <f>IFERROR(EDATE(Tabelle1[[#This Row],[Vertragsende]], -Tabelle1[[#This Row],[Vorlauf]] - 1) + 1, "")</f>
        <v>44454</v>
      </c>
    </row>
    <row r="46" spans="1:28" x14ac:dyDescent="0.25">
      <c r="A46" s="35">
        <f t="shared" si="1"/>
        <v>43</v>
      </c>
      <c r="B46" s="16" t="s">
        <v>204</v>
      </c>
      <c r="C46" s="16" t="s">
        <v>205</v>
      </c>
      <c r="D46" s="16" t="s">
        <v>65</v>
      </c>
      <c r="E46" s="16" t="s">
        <v>66</v>
      </c>
      <c r="F46" s="16" t="s">
        <v>67</v>
      </c>
      <c r="G46" s="18"/>
      <c r="H46" s="18" t="s">
        <v>306</v>
      </c>
      <c r="I46" s="32">
        <v>44684</v>
      </c>
      <c r="J46" s="32">
        <v>44504</v>
      </c>
      <c r="K46" s="32">
        <v>44473</v>
      </c>
      <c r="L46" s="16"/>
      <c r="M46" s="16"/>
      <c r="N46" s="18" t="s">
        <v>313</v>
      </c>
      <c r="O46" s="22" t="s">
        <v>68</v>
      </c>
      <c r="P46" s="22" t="s">
        <v>78</v>
      </c>
      <c r="Q46" s="22"/>
      <c r="R46" s="22"/>
      <c r="S46" s="22"/>
      <c r="T46" s="33">
        <v>44617</v>
      </c>
      <c r="U46" s="19" t="s">
        <v>78</v>
      </c>
      <c r="V46" s="19"/>
      <c r="W46" s="20"/>
      <c r="X46" s="19"/>
      <c r="Y46" s="21">
        <v>240</v>
      </c>
      <c r="Z46" s="36" cm="1">
        <f t="array" ref="Z46">Vorlauf(Tabelle1[[#This Row],[Anbieter]])</f>
        <v>6</v>
      </c>
      <c r="AA46" s="37">
        <f>IFERROR(EDATE(Tabelle1[[#This Row],[Vertragsende]], -Tabelle1[[#This Row],[Vorlauf]]) + 1, "")</f>
        <v>44504</v>
      </c>
      <c r="AB46" s="37">
        <f>IFERROR(EDATE(Tabelle1[[#This Row],[Vertragsende]], -Tabelle1[[#This Row],[Vorlauf]] - 1) + 1, "")</f>
        <v>44473</v>
      </c>
    </row>
    <row r="47" spans="1:28" x14ac:dyDescent="0.25">
      <c r="A47" s="35">
        <f t="shared" si="1"/>
        <v>44</v>
      </c>
      <c r="B47" s="16" t="s">
        <v>206</v>
      </c>
      <c r="C47" s="16" t="s">
        <v>207</v>
      </c>
      <c r="D47" s="16" t="s">
        <v>65</v>
      </c>
      <c r="E47" s="16" t="s">
        <v>66</v>
      </c>
      <c r="F47" s="16" t="s">
        <v>67</v>
      </c>
      <c r="G47" s="18"/>
      <c r="H47" s="18" t="s">
        <v>306</v>
      </c>
      <c r="I47" s="32">
        <v>44684</v>
      </c>
      <c r="J47" s="32">
        <v>44504</v>
      </c>
      <c r="K47" s="32">
        <v>44473</v>
      </c>
      <c r="L47" s="16"/>
      <c r="M47" s="16"/>
      <c r="N47" s="18" t="s">
        <v>313</v>
      </c>
      <c r="O47" s="22" t="s">
        <v>68</v>
      </c>
      <c r="P47" s="22" t="s">
        <v>78</v>
      </c>
      <c r="Q47" s="22"/>
      <c r="R47" s="22"/>
      <c r="S47" s="22"/>
      <c r="T47" s="33">
        <v>44617</v>
      </c>
      <c r="U47" s="19" t="s">
        <v>78</v>
      </c>
      <c r="V47" s="19"/>
      <c r="W47" s="20"/>
      <c r="X47" s="19"/>
      <c r="Y47" s="21">
        <v>240</v>
      </c>
      <c r="Z47" s="36" cm="1">
        <f t="array" ref="Z47">Vorlauf(Tabelle1[[#This Row],[Anbieter]])</f>
        <v>6</v>
      </c>
      <c r="AA47" s="37">
        <f>IFERROR(EDATE(Tabelle1[[#This Row],[Vertragsende]], -Tabelle1[[#This Row],[Vorlauf]]) + 1, "")</f>
        <v>44504</v>
      </c>
      <c r="AB47" s="37">
        <f>IFERROR(EDATE(Tabelle1[[#This Row],[Vertragsende]], -Tabelle1[[#This Row],[Vorlauf]] - 1) + 1, "")</f>
        <v>44473</v>
      </c>
    </row>
    <row r="48" spans="1:28" x14ac:dyDescent="0.25">
      <c r="A48" s="35">
        <f t="shared" si="1"/>
        <v>45</v>
      </c>
      <c r="B48" s="16" t="s">
        <v>208</v>
      </c>
      <c r="C48" s="16" t="s">
        <v>209</v>
      </c>
      <c r="D48" s="16" t="s">
        <v>65</v>
      </c>
      <c r="E48" s="16" t="s">
        <v>66</v>
      </c>
      <c r="F48" s="16" t="s">
        <v>67</v>
      </c>
      <c r="G48" s="18"/>
      <c r="H48" s="18" t="s">
        <v>306</v>
      </c>
      <c r="I48" s="32">
        <v>44684</v>
      </c>
      <c r="J48" s="32">
        <v>44504</v>
      </c>
      <c r="K48" s="32">
        <v>44473</v>
      </c>
      <c r="L48" s="16"/>
      <c r="M48" s="16"/>
      <c r="N48" s="18" t="s">
        <v>313</v>
      </c>
      <c r="O48" s="22" t="s">
        <v>68</v>
      </c>
      <c r="P48" s="22" t="s">
        <v>78</v>
      </c>
      <c r="Q48" s="22"/>
      <c r="R48" s="22"/>
      <c r="S48" s="22"/>
      <c r="T48" s="33">
        <v>44617</v>
      </c>
      <c r="U48" s="19" t="s">
        <v>78</v>
      </c>
      <c r="V48" s="19"/>
      <c r="W48" s="20"/>
      <c r="X48" s="19"/>
      <c r="Y48" s="21">
        <v>240</v>
      </c>
      <c r="Z48" s="36" cm="1">
        <f t="array" ref="Z48">Vorlauf(Tabelle1[[#This Row],[Anbieter]])</f>
        <v>6</v>
      </c>
      <c r="AA48" s="37">
        <f>IFERROR(EDATE(Tabelle1[[#This Row],[Vertragsende]], -Tabelle1[[#This Row],[Vorlauf]]) + 1, "")</f>
        <v>44504</v>
      </c>
      <c r="AB48" s="37">
        <f>IFERROR(EDATE(Tabelle1[[#This Row],[Vertragsende]], -Tabelle1[[#This Row],[Vorlauf]] - 1) + 1, "")</f>
        <v>44473</v>
      </c>
    </row>
    <row r="49" spans="1:28" x14ac:dyDescent="0.25">
      <c r="A49" s="35">
        <f t="shared" si="1"/>
        <v>46</v>
      </c>
      <c r="B49" s="16" t="s">
        <v>210</v>
      </c>
      <c r="C49" s="16" t="s">
        <v>211</v>
      </c>
      <c r="D49" s="16" t="s">
        <v>65</v>
      </c>
      <c r="E49" s="16" t="s">
        <v>66</v>
      </c>
      <c r="F49" s="16" t="s">
        <v>67</v>
      </c>
      <c r="G49" s="18"/>
      <c r="H49" s="18"/>
      <c r="I49" s="32">
        <v>44684</v>
      </c>
      <c r="J49" s="32">
        <v>44504</v>
      </c>
      <c r="K49" s="32">
        <v>44473</v>
      </c>
      <c r="L49" s="16"/>
      <c r="M49" s="16"/>
      <c r="N49" s="18" t="s">
        <v>313</v>
      </c>
      <c r="O49" s="22" t="s">
        <v>68</v>
      </c>
      <c r="P49" s="22" t="s">
        <v>78</v>
      </c>
      <c r="Q49" s="22"/>
      <c r="R49" s="22"/>
      <c r="S49" s="22"/>
      <c r="T49" s="33">
        <v>44617</v>
      </c>
      <c r="U49" s="19" t="s">
        <v>78</v>
      </c>
      <c r="V49" s="19"/>
      <c r="W49" s="20"/>
      <c r="X49" s="19"/>
      <c r="Y49" s="21">
        <v>240</v>
      </c>
      <c r="Z49" s="36" cm="1">
        <f t="array" ref="Z49">Vorlauf(Tabelle1[[#This Row],[Anbieter]])</f>
        <v>6</v>
      </c>
      <c r="AA49" s="37">
        <f>IFERROR(EDATE(Tabelle1[[#This Row],[Vertragsende]], -Tabelle1[[#This Row],[Vorlauf]]) + 1, "")</f>
        <v>44504</v>
      </c>
      <c r="AB49" s="37">
        <f>IFERROR(EDATE(Tabelle1[[#This Row],[Vertragsende]], -Tabelle1[[#This Row],[Vorlauf]] - 1) + 1, "")</f>
        <v>44473</v>
      </c>
    </row>
    <row r="50" spans="1:28" x14ac:dyDescent="0.25">
      <c r="A50" s="35">
        <f t="shared" si="1"/>
        <v>47</v>
      </c>
      <c r="B50" s="16" t="s">
        <v>212</v>
      </c>
      <c r="C50" s="16" t="s">
        <v>213</v>
      </c>
      <c r="D50" s="16" t="s">
        <v>65</v>
      </c>
      <c r="E50" s="16" t="s">
        <v>66</v>
      </c>
      <c r="F50" s="16" t="s">
        <v>67</v>
      </c>
      <c r="G50" s="18"/>
      <c r="H50" s="18"/>
      <c r="I50" s="32">
        <v>44684</v>
      </c>
      <c r="J50" s="32">
        <v>44504</v>
      </c>
      <c r="K50" s="32">
        <v>44473</v>
      </c>
      <c r="L50" s="16"/>
      <c r="M50" s="16"/>
      <c r="N50" s="18" t="s">
        <v>313</v>
      </c>
      <c r="O50" s="22" t="s">
        <v>68</v>
      </c>
      <c r="P50" s="22" t="s">
        <v>78</v>
      </c>
      <c r="Q50" s="22"/>
      <c r="R50" s="22"/>
      <c r="S50" s="22"/>
      <c r="T50" s="33">
        <v>44617</v>
      </c>
      <c r="U50" s="19" t="s">
        <v>78</v>
      </c>
      <c r="V50" s="19"/>
      <c r="W50" s="20"/>
      <c r="X50" s="19"/>
      <c r="Y50" s="21">
        <v>240</v>
      </c>
      <c r="Z50" s="36" cm="1">
        <f t="array" ref="Z50">Vorlauf(Tabelle1[[#This Row],[Anbieter]])</f>
        <v>6</v>
      </c>
      <c r="AA50" s="37">
        <f>IFERROR(EDATE(Tabelle1[[#This Row],[Vertragsende]], -Tabelle1[[#This Row],[Vorlauf]]) + 1, "")</f>
        <v>44504</v>
      </c>
      <c r="AB50" s="37">
        <f>IFERROR(EDATE(Tabelle1[[#This Row],[Vertragsende]], -Tabelle1[[#This Row],[Vorlauf]] - 1) + 1, "")</f>
        <v>44473</v>
      </c>
    </row>
    <row r="51" spans="1:28" x14ac:dyDescent="0.25">
      <c r="A51" s="35">
        <f t="shared" si="1"/>
        <v>48</v>
      </c>
      <c r="B51" s="16" t="s">
        <v>214</v>
      </c>
      <c r="C51" s="16" t="s">
        <v>215</v>
      </c>
      <c r="D51" s="16" t="s">
        <v>65</v>
      </c>
      <c r="E51" s="16" t="s">
        <v>66</v>
      </c>
      <c r="F51" s="16" t="s">
        <v>67</v>
      </c>
      <c r="G51" s="18"/>
      <c r="H51" s="18"/>
      <c r="I51" s="32">
        <v>44684</v>
      </c>
      <c r="J51" s="32">
        <v>44504</v>
      </c>
      <c r="K51" s="32">
        <v>44473</v>
      </c>
      <c r="L51" s="16"/>
      <c r="M51" s="16"/>
      <c r="N51" s="18" t="s">
        <v>313</v>
      </c>
      <c r="O51" s="22" t="s">
        <v>68</v>
      </c>
      <c r="P51" s="22" t="s">
        <v>78</v>
      </c>
      <c r="Q51" s="22"/>
      <c r="R51" s="22"/>
      <c r="S51" s="22"/>
      <c r="T51" s="33">
        <v>44617</v>
      </c>
      <c r="U51" s="19" t="s">
        <v>78</v>
      </c>
      <c r="V51" s="19"/>
      <c r="W51" s="20"/>
      <c r="X51" s="19"/>
      <c r="Y51" s="21">
        <v>240</v>
      </c>
      <c r="Z51" s="36" cm="1">
        <f t="array" ref="Z51">Vorlauf(Tabelle1[[#This Row],[Anbieter]])</f>
        <v>6</v>
      </c>
      <c r="AA51" s="37">
        <f>IFERROR(EDATE(Tabelle1[[#This Row],[Vertragsende]], -Tabelle1[[#This Row],[Vorlauf]]) + 1, "")</f>
        <v>44504</v>
      </c>
      <c r="AB51" s="37">
        <f>IFERROR(EDATE(Tabelle1[[#This Row],[Vertragsende]], -Tabelle1[[#This Row],[Vorlauf]] - 1) + 1, "")</f>
        <v>44473</v>
      </c>
    </row>
    <row r="52" spans="1:28" x14ac:dyDescent="0.25">
      <c r="A52" s="35">
        <f t="shared" si="1"/>
        <v>49</v>
      </c>
      <c r="B52" s="16" t="s">
        <v>216</v>
      </c>
      <c r="C52" s="16" t="s">
        <v>217</v>
      </c>
      <c r="D52" s="16" t="s">
        <v>65</v>
      </c>
      <c r="E52" s="16" t="s">
        <v>66</v>
      </c>
      <c r="F52" s="16" t="s">
        <v>67</v>
      </c>
      <c r="G52" s="18"/>
      <c r="H52" s="18" t="s">
        <v>306</v>
      </c>
      <c r="I52" s="32">
        <v>44684</v>
      </c>
      <c r="J52" s="32">
        <v>44504</v>
      </c>
      <c r="K52" s="32">
        <v>44473</v>
      </c>
      <c r="L52" s="16"/>
      <c r="M52" s="16"/>
      <c r="N52" s="18" t="s">
        <v>313</v>
      </c>
      <c r="O52" s="22" t="s">
        <v>68</v>
      </c>
      <c r="P52" s="22" t="s">
        <v>78</v>
      </c>
      <c r="Q52" s="22"/>
      <c r="R52" s="22"/>
      <c r="S52" s="22"/>
      <c r="T52" s="33">
        <v>44617</v>
      </c>
      <c r="U52" s="19" t="s">
        <v>78</v>
      </c>
      <c r="V52" s="19"/>
      <c r="W52" s="20"/>
      <c r="X52" s="19"/>
      <c r="Y52" s="21">
        <v>240</v>
      </c>
      <c r="Z52" s="36" cm="1">
        <f t="array" ref="Z52">Vorlauf(Tabelle1[[#This Row],[Anbieter]])</f>
        <v>6</v>
      </c>
      <c r="AA52" s="37">
        <f>IFERROR(EDATE(Tabelle1[[#This Row],[Vertragsende]], -Tabelle1[[#This Row],[Vorlauf]]) + 1, "")</f>
        <v>44504</v>
      </c>
      <c r="AB52" s="37">
        <f>IFERROR(EDATE(Tabelle1[[#This Row],[Vertragsende]], -Tabelle1[[#This Row],[Vorlauf]] - 1) + 1, "")</f>
        <v>44473</v>
      </c>
    </row>
    <row r="53" spans="1:28" x14ac:dyDescent="0.25">
      <c r="A53" s="35">
        <f t="shared" si="1"/>
        <v>50</v>
      </c>
      <c r="B53" s="16" t="s">
        <v>218</v>
      </c>
      <c r="C53" s="16" t="s">
        <v>219</v>
      </c>
      <c r="D53" s="16" t="s">
        <v>65</v>
      </c>
      <c r="E53" s="16" t="s">
        <v>66</v>
      </c>
      <c r="F53" s="16" t="s">
        <v>67</v>
      </c>
      <c r="G53" s="18"/>
      <c r="H53" s="18"/>
      <c r="I53" s="32">
        <v>44684</v>
      </c>
      <c r="J53" s="32">
        <v>44504</v>
      </c>
      <c r="K53" s="32">
        <v>44473</v>
      </c>
      <c r="L53" s="16"/>
      <c r="M53" s="16"/>
      <c r="N53" s="18" t="s">
        <v>313</v>
      </c>
      <c r="O53" s="22" t="s">
        <v>68</v>
      </c>
      <c r="P53" s="22" t="s">
        <v>78</v>
      </c>
      <c r="Q53" s="22"/>
      <c r="R53" s="22"/>
      <c r="S53" s="22"/>
      <c r="T53" s="33">
        <v>44617</v>
      </c>
      <c r="U53" s="19" t="s">
        <v>78</v>
      </c>
      <c r="V53" s="19"/>
      <c r="W53" s="20"/>
      <c r="X53" s="19"/>
      <c r="Y53" s="21">
        <v>240</v>
      </c>
      <c r="Z53" s="36" cm="1">
        <f t="array" ref="Z53">Vorlauf(Tabelle1[[#This Row],[Anbieter]])</f>
        <v>6</v>
      </c>
      <c r="AA53" s="37">
        <f>IFERROR(EDATE(Tabelle1[[#This Row],[Vertragsende]], -Tabelle1[[#This Row],[Vorlauf]]) + 1, "")</f>
        <v>44504</v>
      </c>
      <c r="AB53" s="37">
        <f>IFERROR(EDATE(Tabelle1[[#This Row],[Vertragsende]], -Tabelle1[[#This Row],[Vorlauf]] - 1) + 1, "")</f>
        <v>44473</v>
      </c>
    </row>
    <row r="54" spans="1:28" x14ac:dyDescent="0.25">
      <c r="A54" s="35">
        <f t="shared" si="1"/>
        <v>51</v>
      </c>
      <c r="B54" s="16" t="s">
        <v>220</v>
      </c>
      <c r="C54" s="16" t="s">
        <v>221</v>
      </c>
      <c r="D54" s="16" t="s">
        <v>65</v>
      </c>
      <c r="E54" s="16" t="s">
        <v>66</v>
      </c>
      <c r="F54" s="16" t="s">
        <v>67</v>
      </c>
      <c r="G54" s="18"/>
      <c r="H54" s="18"/>
      <c r="I54" s="32">
        <v>44684</v>
      </c>
      <c r="J54" s="32">
        <v>44504</v>
      </c>
      <c r="K54" s="32">
        <v>44473</v>
      </c>
      <c r="L54" s="16"/>
      <c r="M54" s="16"/>
      <c r="N54" s="18" t="s">
        <v>313</v>
      </c>
      <c r="O54" s="22" t="s">
        <v>68</v>
      </c>
      <c r="P54" s="22" t="s">
        <v>78</v>
      </c>
      <c r="Q54" s="22"/>
      <c r="R54" s="22"/>
      <c r="S54" s="22"/>
      <c r="T54" s="33">
        <v>44617</v>
      </c>
      <c r="U54" s="19" t="s">
        <v>78</v>
      </c>
      <c r="V54" s="19"/>
      <c r="W54" s="20"/>
      <c r="X54" s="19"/>
      <c r="Y54" s="21">
        <v>240</v>
      </c>
      <c r="Z54" s="36" cm="1">
        <f t="array" ref="Z54">Vorlauf(Tabelle1[[#This Row],[Anbieter]])</f>
        <v>6</v>
      </c>
      <c r="AA54" s="37">
        <f>IFERROR(EDATE(Tabelle1[[#This Row],[Vertragsende]], -Tabelle1[[#This Row],[Vorlauf]]) + 1, "")</f>
        <v>44504</v>
      </c>
      <c r="AB54" s="37">
        <f>IFERROR(EDATE(Tabelle1[[#This Row],[Vertragsende]], -Tabelle1[[#This Row],[Vorlauf]] - 1) + 1, "")</f>
        <v>44473</v>
      </c>
    </row>
    <row r="55" spans="1:28" x14ac:dyDescent="0.25">
      <c r="A55" s="35">
        <f t="shared" si="1"/>
        <v>52</v>
      </c>
      <c r="B55" s="16" t="s">
        <v>222</v>
      </c>
      <c r="C55" s="16" t="s">
        <v>223</v>
      </c>
      <c r="D55" s="16" t="s">
        <v>65</v>
      </c>
      <c r="E55" s="16" t="s">
        <v>66</v>
      </c>
      <c r="F55" s="16" t="s">
        <v>67</v>
      </c>
      <c r="G55" s="18"/>
      <c r="H55" s="18"/>
      <c r="I55" s="32">
        <v>44684</v>
      </c>
      <c r="J55" s="32">
        <v>44504</v>
      </c>
      <c r="K55" s="32">
        <v>44473</v>
      </c>
      <c r="L55" s="16"/>
      <c r="M55" s="16"/>
      <c r="N55" s="18" t="s">
        <v>313</v>
      </c>
      <c r="O55" s="22" t="s">
        <v>68</v>
      </c>
      <c r="P55" s="22" t="s">
        <v>78</v>
      </c>
      <c r="Q55" s="22"/>
      <c r="R55" s="22"/>
      <c r="S55" s="22"/>
      <c r="T55" s="33">
        <v>44617</v>
      </c>
      <c r="U55" s="19" t="s">
        <v>78</v>
      </c>
      <c r="V55" s="19"/>
      <c r="W55" s="20"/>
      <c r="X55" s="19"/>
      <c r="Y55" s="21">
        <v>240</v>
      </c>
      <c r="Z55" s="36" cm="1">
        <f t="array" ref="Z55">Vorlauf(Tabelle1[[#This Row],[Anbieter]])</f>
        <v>6</v>
      </c>
      <c r="AA55" s="37">
        <f>IFERROR(EDATE(Tabelle1[[#This Row],[Vertragsende]], -Tabelle1[[#This Row],[Vorlauf]]) + 1, "")</f>
        <v>44504</v>
      </c>
      <c r="AB55" s="37">
        <f>IFERROR(EDATE(Tabelle1[[#This Row],[Vertragsende]], -Tabelle1[[#This Row],[Vorlauf]] - 1) + 1, "")</f>
        <v>44473</v>
      </c>
    </row>
    <row r="56" spans="1:28" x14ac:dyDescent="0.25">
      <c r="A56" s="35">
        <f t="shared" si="1"/>
        <v>53</v>
      </c>
      <c r="B56" s="16" t="s">
        <v>224</v>
      </c>
      <c r="C56" s="16" t="s">
        <v>225</v>
      </c>
      <c r="D56" s="16" t="s">
        <v>65</v>
      </c>
      <c r="E56" s="16" t="s">
        <v>66</v>
      </c>
      <c r="F56" s="16" t="s">
        <v>67</v>
      </c>
      <c r="G56" s="18"/>
      <c r="H56" s="18"/>
      <c r="I56" s="32">
        <v>44737</v>
      </c>
      <c r="J56" s="32">
        <v>44556</v>
      </c>
      <c r="K56" s="32">
        <v>44526</v>
      </c>
      <c r="L56" s="16"/>
      <c r="M56" s="16"/>
      <c r="N56" s="18" t="s">
        <v>313</v>
      </c>
      <c r="O56" s="22" t="s">
        <v>68</v>
      </c>
      <c r="P56" s="22" t="s">
        <v>69</v>
      </c>
      <c r="Q56" s="22"/>
      <c r="R56" s="22"/>
      <c r="S56" s="22"/>
      <c r="T56" s="33">
        <v>44617</v>
      </c>
      <c r="U56" s="19" t="s">
        <v>161</v>
      </c>
      <c r="V56" s="19"/>
      <c r="W56" s="20"/>
      <c r="X56" s="19"/>
      <c r="Y56" s="21">
        <v>165</v>
      </c>
      <c r="Z56" s="36" cm="1">
        <f t="array" ref="Z56">Vorlauf(Tabelle1[[#This Row],[Anbieter]])</f>
        <v>6</v>
      </c>
      <c r="AA56" s="37">
        <f>IFERROR(EDATE(Tabelle1[[#This Row],[Vertragsende]], -Tabelle1[[#This Row],[Vorlauf]]) + 1, "")</f>
        <v>44556</v>
      </c>
      <c r="AB56" s="37">
        <f>IFERROR(EDATE(Tabelle1[[#This Row],[Vertragsende]], -Tabelle1[[#This Row],[Vorlauf]] - 1) + 1, "")</f>
        <v>44526</v>
      </c>
    </row>
    <row r="57" spans="1:28" x14ac:dyDescent="0.25">
      <c r="A57" s="35">
        <f t="shared" si="1"/>
        <v>54</v>
      </c>
      <c r="B57" s="16" t="s">
        <v>226</v>
      </c>
      <c r="C57" s="16" t="s">
        <v>227</v>
      </c>
      <c r="D57" s="16" t="s">
        <v>65</v>
      </c>
      <c r="E57" s="16" t="s">
        <v>66</v>
      </c>
      <c r="F57" s="16" t="s">
        <v>67</v>
      </c>
      <c r="G57" s="18"/>
      <c r="H57" s="18"/>
      <c r="I57" s="32">
        <v>44737</v>
      </c>
      <c r="J57" s="32">
        <v>44556</v>
      </c>
      <c r="K57" s="32">
        <v>44526</v>
      </c>
      <c r="L57" s="16"/>
      <c r="M57" s="16"/>
      <c r="N57" s="18" t="s">
        <v>313</v>
      </c>
      <c r="O57" s="22" t="s">
        <v>68</v>
      </c>
      <c r="P57" s="22" t="s">
        <v>69</v>
      </c>
      <c r="Q57" s="22"/>
      <c r="R57" s="22"/>
      <c r="S57" s="22"/>
      <c r="T57" s="33">
        <v>44617</v>
      </c>
      <c r="U57" s="19" t="s">
        <v>161</v>
      </c>
      <c r="V57" s="19"/>
      <c r="W57" s="20"/>
      <c r="X57" s="19"/>
      <c r="Y57" s="21">
        <v>165</v>
      </c>
      <c r="Z57" s="36" cm="1">
        <f t="array" ref="Z57">Vorlauf(Tabelle1[[#This Row],[Anbieter]])</f>
        <v>6</v>
      </c>
      <c r="AA57" s="37">
        <f>IFERROR(EDATE(Tabelle1[[#This Row],[Vertragsende]], -Tabelle1[[#This Row],[Vorlauf]]) + 1, "")</f>
        <v>44556</v>
      </c>
      <c r="AB57" s="37">
        <f>IFERROR(EDATE(Tabelle1[[#This Row],[Vertragsende]], -Tabelle1[[#This Row],[Vorlauf]] - 1) + 1, "")</f>
        <v>44526</v>
      </c>
    </row>
    <row r="58" spans="1:28" x14ac:dyDescent="0.25">
      <c r="A58" s="35">
        <f t="shared" si="1"/>
        <v>55</v>
      </c>
      <c r="B58" s="16" t="s">
        <v>228</v>
      </c>
      <c r="C58" s="16" t="s">
        <v>229</v>
      </c>
      <c r="D58" s="16" t="s">
        <v>65</v>
      </c>
      <c r="E58" s="16" t="s">
        <v>66</v>
      </c>
      <c r="F58" s="16" t="s">
        <v>67</v>
      </c>
      <c r="G58" s="18"/>
      <c r="H58" s="18"/>
      <c r="I58" s="32">
        <v>44737</v>
      </c>
      <c r="J58" s="32">
        <v>44556</v>
      </c>
      <c r="K58" s="32">
        <v>44526</v>
      </c>
      <c r="L58" s="16"/>
      <c r="M58" s="16"/>
      <c r="N58" s="18" t="s">
        <v>313</v>
      </c>
      <c r="O58" s="22" t="s">
        <v>68</v>
      </c>
      <c r="P58" s="22" t="s">
        <v>69</v>
      </c>
      <c r="Q58" s="22"/>
      <c r="R58" s="22"/>
      <c r="S58" s="22"/>
      <c r="T58" s="33">
        <v>44617</v>
      </c>
      <c r="U58" s="19" t="s">
        <v>161</v>
      </c>
      <c r="V58" s="19"/>
      <c r="W58" s="20"/>
      <c r="X58" s="19"/>
      <c r="Y58" s="21">
        <v>165</v>
      </c>
      <c r="Z58" s="36" cm="1">
        <f t="array" ref="Z58">Vorlauf(Tabelle1[[#This Row],[Anbieter]])</f>
        <v>6</v>
      </c>
      <c r="AA58" s="37">
        <f>IFERROR(EDATE(Tabelle1[[#This Row],[Vertragsende]], -Tabelle1[[#This Row],[Vorlauf]]) + 1, "")</f>
        <v>44556</v>
      </c>
      <c r="AB58" s="37">
        <f>IFERROR(EDATE(Tabelle1[[#This Row],[Vertragsende]], -Tabelle1[[#This Row],[Vorlauf]] - 1) + 1, "")</f>
        <v>44526</v>
      </c>
    </row>
    <row r="59" spans="1:28" x14ac:dyDescent="0.25">
      <c r="A59" s="35">
        <f t="shared" si="1"/>
        <v>56</v>
      </c>
      <c r="B59" s="16" t="s">
        <v>230</v>
      </c>
      <c r="C59" s="16" t="s">
        <v>231</v>
      </c>
      <c r="D59" s="16" t="s">
        <v>65</v>
      </c>
      <c r="E59" s="16" t="s">
        <v>66</v>
      </c>
      <c r="F59" s="16" t="s">
        <v>67</v>
      </c>
      <c r="G59" s="18"/>
      <c r="H59" s="18"/>
      <c r="I59" s="32">
        <v>44737</v>
      </c>
      <c r="J59" s="32">
        <v>44556</v>
      </c>
      <c r="K59" s="32">
        <v>44526</v>
      </c>
      <c r="L59" s="16"/>
      <c r="M59" s="16"/>
      <c r="N59" s="18" t="s">
        <v>313</v>
      </c>
      <c r="O59" s="22" t="s">
        <v>68</v>
      </c>
      <c r="P59" s="22" t="s">
        <v>69</v>
      </c>
      <c r="Q59" s="22"/>
      <c r="R59" s="22"/>
      <c r="S59" s="22"/>
      <c r="T59" s="33">
        <v>44617</v>
      </c>
      <c r="U59" s="19" t="s">
        <v>161</v>
      </c>
      <c r="V59" s="19"/>
      <c r="W59" s="20"/>
      <c r="X59" s="19"/>
      <c r="Y59" s="21">
        <v>165</v>
      </c>
      <c r="Z59" s="36" cm="1">
        <f t="array" ref="Z59">Vorlauf(Tabelle1[[#This Row],[Anbieter]])</f>
        <v>6</v>
      </c>
      <c r="AA59" s="37">
        <f>IFERROR(EDATE(Tabelle1[[#This Row],[Vertragsende]], -Tabelle1[[#This Row],[Vorlauf]]) + 1, "")</f>
        <v>44556</v>
      </c>
      <c r="AB59" s="37">
        <f>IFERROR(EDATE(Tabelle1[[#This Row],[Vertragsende]], -Tabelle1[[#This Row],[Vorlauf]] - 1) + 1, "")</f>
        <v>44526</v>
      </c>
    </row>
    <row r="60" spans="1:28" x14ac:dyDescent="0.25">
      <c r="A60" s="35">
        <f t="shared" si="1"/>
        <v>57</v>
      </c>
      <c r="B60" s="16" t="s">
        <v>232</v>
      </c>
      <c r="C60" s="16" t="s">
        <v>233</v>
      </c>
      <c r="D60" s="16" t="s">
        <v>65</v>
      </c>
      <c r="E60" s="16" t="s">
        <v>66</v>
      </c>
      <c r="F60" s="16" t="s">
        <v>67</v>
      </c>
      <c r="G60" s="18"/>
      <c r="H60" s="18"/>
      <c r="I60" s="32">
        <v>44737</v>
      </c>
      <c r="J60" s="32">
        <v>44556</v>
      </c>
      <c r="K60" s="32">
        <v>44526</v>
      </c>
      <c r="L60" s="16"/>
      <c r="M60" s="16"/>
      <c r="N60" s="18" t="s">
        <v>313</v>
      </c>
      <c r="O60" s="22" t="s">
        <v>68</v>
      </c>
      <c r="P60" s="22" t="s">
        <v>69</v>
      </c>
      <c r="Q60" s="22"/>
      <c r="R60" s="22"/>
      <c r="S60" s="22"/>
      <c r="T60" s="33">
        <v>44617</v>
      </c>
      <c r="U60" s="19" t="s">
        <v>161</v>
      </c>
      <c r="V60" s="19"/>
      <c r="W60" s="20"/>
      <c r="X60" s="19"/>
      <c r="Y60" s="21">
        <v>165</v>
      </c>
      <c r="Z60" s="36" cm="1">
        <f t="array" ref="Z60">Vorlauf(Tabelle1[[#This Row],[Anbieter]])</f>
        <v>6</v>
      </c>
      <c r="AA60" s="37">
        <f>IFERROR(EDATE(Tabelle1[[#This Row],[Vertragsende]], -Tabelle1[[#This Row],[Vorlauf]]) + 1, "")</f>
        <v>44556</v>
      </c>
      <c r="AB60" s="37">
        <f>IFERROR(EDATE(Tabelle1[[#This Row],[Vertragsende]], -Tabelle1[[#This Row],[Vorlauf]] - 1) + 1, "")</f>
        <v>44526</v>
      </c>
    </row>
    <row r="61" spans="1:28" x14ac:dyDescent="0.25">
      <c r="A61" s="35">
        <f t="shared" si="1"/>
        <v>58</v>
      </c>
      <c r="B61" s="16" t="s">
        <v>234</v>
      </c>
      <c r="C61" s="16" t="s">
        <v>235</v>
      </c>
      <c r="D61" s="16" t="s">
        <v>65</v>
      </c>
      <c r="E61" s="16" t="s">
        <v>66</v>
      </c>
      <c r="F61" s="16" t="s">
        <v>67</v>
      </c>
      <c r="G61" s="18"/>
      <c r="H61" s="18"/>
      <c r="I61" s="32">
        <v>44756</v>
      </c>
      <c r="J61" s="32">
        <v>44576</v>
      </c>
      <c r="K61" s="32">
        <v>44545</v>
      </c>
      <c r="L61" s="16"/>
      <c r="M61" s="16"/>
      <c r="N61" s="18" t="s">
        <v>313</v>
      </c>
      <c r="O61" s="22" t="s">
        <v>68</v>
      </c>
      <c r="P61" s="22" t="s">
        <v>78</v>
      </c>
      <c r="Q61" s="22"/>
      <c r="R61" s="22"/>
      <c r="S61" s="22"/>
      <c r="T61" s="33">
        <v>44617</v>
      </c>
      <c r="U61" s="19" t="s">
        <v>78</v>
      </c>
      <c r="V61" s="19"/>
      <c r="W61" s="20"/>
      <c r="X61" s="19"/>
      <c r="Y61" s="21">
        <v>240</v>
      </c>
      <c r="Z61" s="36" cm="1">
        <f t="array" ref="Z61">Vorlauf(Tabelle1[[#This Row],[Anbieter]])</f>
        <v>6</v>
      </c>
      <c r="AA61" s="37">
        <f>IFERROR(EDATE(Tabelle1[[#This Row],[Vertragsende]], -Tabelle1[[#This Row],[Vorlauf]]) + 1, "")</f>
        <v>44576</v>
      </c>
      <c r="AB61" s="37">
        <f>IFERROR(EDATE(Tabelle1[[#This Row],[Vertragsende]], -Tabelle1[[#This Row],[Vorlauf]] - 1) + 1, "")</f>
        <v>44545</v>
      </c>
    </row>
    <row r="62" spans="1:28" x14ac:dyDescent="0.25">
      <c r="A62" s="35">
        <f t="shared" si="1"/>
        <v>59</v>
      </c>
      <c r="B62" s="16" t="s">
        <v>236</v>
      </c>
      <c r="C62" s="16" t="s">
        <v>237</v>
      </c>
      <c r="D62" s="16" t="s">
        <v>65</v>
      </c>
      <c r="E62" s="16" t="s">
        <v>66</v>
      </c>
      <c r="F62" s="16" t="s">
        <v>67</v>
      </c>
      <c r="G62" s="18"/>
      <c r="H62" s="18"/>
      <c r="I62" s="32">
        <v>44791</v>
      </c>
      <c r="J62" s="32">
        <v>44611</v>
      </c>
      <c r="K62" s="32">
        <v>44580</v>
      </c>
      <c r="L62" s="16"/>
      <c r="M62" s="16"/>
      <c r="N62" s="18" t="s">
        <v>313</v>
      </c>
      <c r="O62" s="22" t="s">
        <v>68</v>
      </c>
      <c r="P62" s="22" t="s">
        <v>78</v>
      </c>
      <c r="Q62" s="22"/>
      <c r="R62" s="22"/>
      <c r="S62" s="22"/>
      <c r="T62" s="33">
        <v>44691</v>
      </c>
      <c r="U62" s="19" t="s">
        <v>78</v>
      </c>
      <c r="V62" s="19" t="s">
        <v>79</v>
      </c>
      <c r="W62" s="20"/>
      <c r="X62" s="19"/>
      <c r="Y62" s="21">
        <v>50</v>
      </c>
      <c r="Z62" s="36" cm="1">
        <f t="array" ref="Z62">Vorlauf(Tabelle1[[#This Row],[Anbieter]])</f>
        <v>6</v>
      </c>
      <c r="AA62" s="37">
        <f>IFERROR(EDATE(Tabelle1[[#This Row],[Vertragsende]], -Tabelle1[[#This Row],[Vorlauf]]) + 1, "")</f>
        <v>44611</v>
      </c>
      <c r="AB62" s="37">
        <f>IFERROR(EDATE(Tabelle1[[#This Row],[Vertragsende]], -Tabelle1[[#This Row],[Vorlauf]] - 1) + 1, "")</f>
        <v>44580</v>
      </c>
    </row>
    <row r="63" spans="1:28" x14ac:dyDescent="0.25">
      <c r="A63" s="35">
        <f t="shared" si="1"/>
        <v>60</v>
      </c>
      <c r="B63" s="16" t="s">
        <v>238</v>
      </c>
      <c r="C63" s="16" t="s">
        <v>239</v>
      </c>
      <c r="D63" s="16" t="s">
        <v>65</v>
      </c>
      <c r="E63" s="16" t="s">
        <v>66</v>
      </c>
      <c r="F63" s="16" t="s">
        <v>67</v>
      </c>
      <c r="G63" s="18"/>
      <c r="H63" s="18"/>
      <c r="I63" s="32">
        <v>44797</v>
      </c>
      <c r="J63" s="32">
        <v>44617</v>
      </c>
      <c r="K63" s="32">
        <v>44586</v>
      </c>
      <c r="L63" s="16"/>
      <c r="M63" s="16"/>
      <c r="N63" s="18" t="s">
        <v>313</v>
      </c>
      <c r="O63" s="22" t="s">
        <v>68</v>
      </c>
      <c r="P63" s="22" t="s">
        <v>78</v>
      </c>
      <c r="Q63" s="22"/>
      <c r="R63" s="22"/>
      <c r="S63" s="22"/>
      <c r="T63" s="33">
        <v>44732</v>
      </c>
      <c r="U63" s="19" t="s">
        <v>78</v>
      </c>
      <c r="V63" s="19"/>
      <c r="W63" s="20"/>
      <c r="X63" s="19"/>
      <c r="Y63" s="21">
        <v>240</v>
      </c>
      <c r="Z63" s="36" cm="1">
        <f t="array" ref="Z63">Vorlauf(Tabelle1[[#This Row],[Anbieter]])</f>
        <v>6</v>
      </c>
      <c r="AA63" s="37">
        <f>IFERROR(EDATE(Tabelle1[[#This Row],[Vertragsende]], -Tabelle1[[#This Row],[Vorlauf]]) + 1, "")</f>
        <v>44617</v>
      </c>
      <c r="AB63" s="37">
        <f>IFERROR(EDATE(Tabelle1[[#This Row],[Vertragsende]], -Tabelle1[[#This Row],[Vorlauf]] - 1) + 1, "")</f>
        <v>44586</v>
      </c>
    </row>
    <row r="64" spans="1:28" x14ac:dyDescent="0.25">
      <c r="A64" s="35">
        <f t="shared" si="1"/>
        <v>61</v>
      </c>
      <c r="B64" s="16" t="s">
        <v>240</v>
      </c>
      <c r="C64" s="16" t="s">
        <v>241</v>
      </c>
      <c r="D64" s="16" t="s">
        <v>65</v>
      </c>
      <c r="E64" s="16" t="s">
        <v>66</v>
      </c>
      <c r="F64" s="16" t="s">
        <v>67</v>
      </c>
      <c r="G64" s="18"/>
      <c r="H64" s="18"/>
      <c r="I64" s="32">
        <v>44803</v>
      </c>
      <c r="J64" s="32">
        <v>44620</v>
      </c>
      <c r="K64" s="32">
        <v>44589</v>
      </c>
      <c r="L64" s="16"/>
      <c r="M64" s="16"/>
      <c r="N64" s="18" t="s">
        <v>313</v>
      </c>
      <c r="O64" s="22" t="s">
        <v>68</v>
      </c>
      <c r="P64" s="22" t="s">
        <v>78</v>
      </c>
      <c r="Q64" s="22"/>
      <c r="R64" s="22"/>
      <c r="S64" s="22"/>
      <c r="T64" s="33">
        <v>44732</v>
      </c>
      <c r="U64" s="19" t="s">
        <v>78</v>
      </c>
      <c r="V64" s="19"/>
      <c r="W64" s="20"/>
      <c r="X64" s="19"/>
      <c r="Y64" s="21">
        <v>240</v>
      </c>
      <c r="Z64" s="36" cm="1">
        <f t="array" ref="Z64">Vorlauf(Tabelle1[[#This Row],[Anbieter]])</f>
        <v>6</v>
      </c>
      <c r="AA64" s="37">
        <f>IFERROR(EDATE(Tabelle1[[#This Row],[Vertragsende]], -Tabelle1[[#This Row],[Vorlauf]]) + 1, "")</f>
        <v>44621</v>
      </c>
      <c r="AB64" s="37">
        <f>IFERROR(EDATE(Tabelle1[[#This Row],[Vertragsende]], -Tabelle1[[#This Row],[Vorlauf]] - 1) + 1, "")</f>
        <v>44592</v>
      </c>
    </row>
    <row r="65" spans="1:28" x14ac:dyDescent="0.25">
      <c r="A65" s="35">
        <f t="shared" si="1"/>
        <v>62</v>
      </c>
      <c r="B65" s="16" t="s">
        <v>242</v>
      </c>
      <c r="C65" s="16" t="s">
        <v>243</v>
      </c>
      <c r="D65" s="16" t="s">
        <v>65</v>
      </c>
      <c r="E65" s="16" t="s">
        <v>66</v>
      </c>
      <c r="F65" s="16" t="s">
        <v>67</v>
      </c>
      <c r="G65" s="18"/>
      <c r="H65" s="18"/>
      <c r="I65" s="32">
        <v>44866</v>
      </c>
      <c r="J65" s="32">
        <v>44683</v>
      </c>
      <c r="K65" s="32">
        <v>44653</v>
      </c>
      <c r="L65" s="16"/>
      <c r="M65" s="16"/>
      <c r="N65" s="18" t="s">
        <v>313</v>
      </c>
      <c r="O65" s="22" t="s">
        <v>68</v>
      </c>
      <c r="P65" s="22" t="s">
        <v>78</v>
      </c>
      <c r="Q65" s="22"/>
      <c r="R65" s="22"/>
      <c r="S65" s="22"/>
      <c r="T65" s="33">
        <v>44749</v>
      </c>
      <c r="U65" s="19" t="s">
        <v>78</v>
      </c>
      <c r="V65" s="19" t="s">
        <v>244</v>
      </c>
      <c r="W65" s="20"/>
      <c r="X65" s="19"/>
      <c r="Y65" s="21">
        <v>50</v>
      </c>
      <c r="Z65" s="36" cm="1">
        <f t="array" ref="Z65">Vorlauf(Tabelle1[[#This Row],[Anbieter]])</f>
        <v>6</v>
      </c>
      <c r="AA65" s="37">
        <f>IFERROR(EDATE(Tabelle1[[#This Row],[Vertragsende]], -Tabelle1[[#This Row],[Vorlauf]]) + 1, "")</f>
        <v>44683</v>
      </c>
      <c r="AB65" s="37">
        <f>IFERROR(EDATE(Tabelle1[[#This Row],[Vertragsende]], -Tabelle1[[#This Row],[Vorlauf]] - 1) + 1, "")</f>
        <v>44653</v>
      </c>
    </row>
    <row r="66" spans="1:28" x14ac:dyDescent="0.25">
      <c r="A66" s="35">
        <f t="shared" si="1"/>
        <v>63</v>
      </c>
      <c r="B66" s="16" t="s">
        <v>245</v>
      </c>
      <c r="C66" s="16" t="s">
        <v>246</v>
      </c>
      <c r="D66" s="16" t="s">
        <v>65</v>
      </c>
      <c r="E66" s="16" t="s">
        <v>66</v>
      </c>
      <c r="F66" s="16" t="s">
        <v>67</v>
      </c>
      <c r="G66" s="18"/>
      <c r="H66" s="18"/>
      <c r="I66" s="32">
        <v>44902</v>
      </c>
      <c r="J66" s="32">
        <v>44720</v>
      </c>
      <c r="K66" s="32">
        <v>44689</v>
      </c>
      <c r="L66" s="16"/>
      <c r="M66" s="16"/>
      <c r="N66" s="18" t="s">
        <v>313</v>
      </c>
      <c r="O66" s="22" t="s">
        <v>68</v>
      </c>
      <c r="P66" s="22" t="s">
        <v>69</v>
      </c>
      <c r="Q66" s="22"/>
      <c r="R66" s="22"/>
      <c r="S66" s="22"/>
      <c r="T66" s="33">
        <v>44841</v>
      </c>
      <c r="U66" s="19" t="s">
        <v>161</v>
      </c>
      <c r="V66" s="19"/>
      <c r="W66" s="20"/>
      <c r="X66" s="19"/>
      <c r="Y66" s="21">
        <v>165</v>
      </c>
      <c r="Z66" s="36" cm="1">
        <f t="array" ref="Z66">Vorlauf(Tabelle1[[#This Row],[Anbieter]])</f>
        <v>6</v>
      </c>
      <c r="AA66" s="37">
        <f>IFERROR(EDATE(Tabelle1[[#This Row],[Vertragsende]], -Tabelle1[[#This Row],[Vorlauf]]) + 1, "")</f>
        <v>44720</v>
      </c>
      <c r="AB66" s="37">
        <f>IFERROR(EDATE(Tabelle1[[#This Row],[Vertragsende]], -Tabelle1[[#This Row],[Vorlauf]] - 1) + 1, "")</f>
        <v>44689</v>
      </c>
    </row>
    <row r="67" spans="1:28" x14ac:dyDescent="0.25">
      <c r="A67" s="35">
        <f t="shared" si="1"/>
        <v>64</v>
      </c>
      <c r="B67" s="16" t="s">
        <v>247</v>
      </c>
      <c r="C67" s="16" t="s">
        <v>248</v>
      </c>
      <c r="D67" s="16" t="s">
        <v>65</v>
      </c>
      <c r="E67" s="16" t="s">
        <v>66</v>
      </c>
      <c r="F67" s="16" t="s">
        <v>67</v>
      </c>
      <c r="G67" s="18"/>
      <c r="H67" s="18"/>
      <c r="I67" s="32">
        <v>44982</v>
      </c>
      <c r="J67" s="32">
        <v>44799</v>
      </c>
      <c r="K67" s="32">
        <v>44743</v>
      </c>
      <c r="L67" s="16"/>
      <c r="M67" s="16"/>
      <c r="N67" s="18" t="s">
        <v>313</v>
      </c>
      <c r="O67" s="22" t="s">
        <v>68</v>
      </c>
      <c r="P67" s="22" t="s">
        <v>78</v>
      </c>
      <c r="Q67" s="22"/>
      <c r="R67" s="22"/>
      <c r="S67" s="22"/>
      <c r="T67" s="33">
        <v>44841</v>
      </c>
      <c r="U67" s="19" t="s">
        <v>78</v>
      </c>
      <c r="V67" s="19" t="s">
        <v>249</v>
      </c>
      <c r="W67" s="20"/>
      <c r="X67" s="19"/>
      <c r="Y67" s="21">
        <v>190</v>
      </c>
      <c r="Z67" s="36" cm="1">
        <f t="array" ref="Z67">Vorlauf(Tabelle1[[#This Row],[Anbieter]])</f>
        <v>6</v>
      </c>
      <c r="AA67" s="37">
        <f>IFERROR(EDATE(Tabelle1[[#This Row],[Vertragsende]], -Tabelle1[[#This Row],[Vorlauf]]) + 1, "")</f>
        <v>44799</v>
      </c>
      <c r="AB67" s="37">
        <f>IFERROR(EDATE(Tabelle1[[#This Row],[Vertragsende]], -Tabelle1[[#This Row],[Vorlauf]] - 1) + 1, "")</f>
        <v>44768</v>
      </c>
    </row>
    <row r="68" spans="1:28" x14ac:dyDescent="0.25">
      <c r="A68" s="35">
        <f t="shared" ref="A68:A99" si="2">ROW()-3</f>
        <v>65</v>
      </c>
      <c r="B68" s="16" t="s">
        <v>250</v>
      </c>
      <c r="C68" s="16" t="s">
        <v>251</v>
      </c>
      <c r="D68" s="16" t="s">
        <v>65</v>
      </c>
      <c r="E68" s="16" t="s">
        <v>66</v>
      </c>
      <c r="F68" s="16" t="s">
        <v>67</v>
      </c>
      <c r="G68" s="18"/>
      <c r="H68" s="18" t="s">
        <v>306</v>
      </c>
      <c r="I68" s="32">
        <v>44982</v>
      </c>
      <c r="J68" s="32">
        <v>44799</v>
      </c>
      <c r="K68" s="32">
        <v>44743</v>
      </c>
      <c r="L68" s="16"/>
      <c r="M68" s="16"/>
      <c r="N68" s="18" t="s">
        <v>313</v>
      </c>
      <c r="O68" s="22" t="s">
        <v>68</v>
      </c>
      <c r="P68" s="22" t="s">
        <v>78</v>
      </c>
      <c r="Q68" s="22"/>
      <c r="R68" s="22"/>
      <c r="S68" s="22"/>
      <c r="T68" s="33">
        <v>44841</v>
      </c>
      <c r="U68" s="19" t="s">
        <v>78</v>
      </c>
      <c r="V68" s="19"/>
      <c r="W68" s="20"/>
      <c r="X68" s="19"/>
      <c r="Y68" s="21">
        <v>190</v>
      </c>
      <c r="Z68" s="36" cm="1">
        <f t="array" ref="Z68">Vorlauf(Tabelle1[[#This Row],[Anbieter]])</f>
        <v>6</v>
      </c>
      <c r="AA68" s="37">
        <f>IFERROR(EDATE(Tabelle1[[#This Row],[Vertragsende]], -Tabelle1[[#This Row],[Vorlauf]]) + 1, "")</f>
        <v>44799</v>
      </c>
      <c r="AB68" s="37">
        <f>IFERROR(EDATE(Tabelle1[[#This Row],[Vertragsende]], -Tabelle1[[#This Row],[Vorlauf]] - 1) + 1, "")</f>
        <v>44768</v>
      </c>
    </row>
    <row r="69" spans="1:28" x14ac:dyDescent="0.25">
      <c r="A69" s="35">
        <f t="shared" si="2"/>
        <v>66</v>
      </c>
      <c r="B69" s="16" t="s">
        <v>252</v>
      </c>
      <c r="C69" s="16"/>
      <c r="D69" s="16"/>
      <c r="E69" s="16" t="s">
        <v>253</v>
      </c>
      <c r="F69" s="16"/>
      <c r="G69" s="18" t="s">
        <v>306</v>
      </c>
      <c r="H69" s="18"/>
      <c r="I69" s="32">
        <v>44834</v>
      </c>
      <c r="J69" s="32"/>
      <c r="K69" s="32">
        <v>44774</v>
      </c>
      <c r="L69" s="16"/>
      <c r="M69" s="16"/>
      <c r="N69" s="18" t="s">
        <v>313</v>
      </c>
      <c r="O69" s="22" t="s">
        <v>254</v>
      </c>
      <c r="P69" s="22"/>
      <c r="Q69" s="22"/>
      <c r="R69" s="22"/>
      <c r="S69" s="22"/>
      <c r="T69" s="33">
        <v>44834</v>
      </c>
      <c r="U69" s="19" t="s">
        <v>78</v>
      </c>
      <c r="V69" s="19" t="s">
        <v>255</v>
      </c>
      <c r="W69" s="20"/>
      <c r="X69" s="19"/>
      <c r="Y69" s="21">
        <v>365</v>
      </c>
      <c r="Z69" s="36" cm="1">
        <f t="array" ref="Z69">Vorlauf(Tabelle1[[#This Row],[Anbieter]])</f>
        <v>1</v>
      </c>
      <c r="AA69" s="37">
        <f>IFERROR(EDATE(Tabelle1[[#This Row],[Vertragsende]], -Tabelle1[[#This Row],[Vorlauf]]) + 1, "")</f>
        <v>44804</v>
      </c>
      <c r="AB69" s="37">
        <f>IFERROR(EDATE(Tabelle1[[#This Row],[Vertragsende]], -Tabelle1[[#This Row],[Vorlauf]] - 1) + 1, "")</f>
        <v>44773</v>
      </c>
    </row>
    <row r="70" spans="1:28" x14ac:dyDescent="0.25">
      <c r="A70" s="35">
        <f t="shared" si="2"/>
        <v>67</v>
      </c>
      <c r="B70" s="16" t="s">
        <v>256</v>
      </c>
      <c r="C70" s="16" t="s">
        <v>257</v>
      </c>
      <c r="D70" s="16" t="s">
        <v>65</v>
      </c>
      <c r="E70" s="16" t="s">
        <v>66</v>
      </c>
      <c r="F70" s="16" t="s">
        <v>67</v>
      </c>
      <c r="G70" s="18"/>
      <c r="H70" s="18" t="s">
        <v>306</v>
      </c>
      <c r="I70" s="32">
        <v>45001</v>
      </c>
      <c r="J70" s="32">
        <v>44821</v>
      </c>
      <c r="K70" s="32">
        <v>44774</v>
      </c>
      <c r="L70" s="16"/>
      <c r="M70" s="16"/>
      <c r="N70" s="18" t="s">
        <v>313</v>
      </c>
      <c r="O70" s="22" t="s">
        <v>68</v>
      </c>
      <c r="P70" s="22" t="s">
        <v>78</v>
      </c>
      <c r="Q70" s="22"/>
      <c r="R70" s="22"/>
      <c r="S70" s="22"/>
      <c r="T70" s="33">
        <v>44916</v>
      </c>
      <c r="U70" s="19" t="s">
        <v>78</v>
      </c>
      <c r="V70" s="19" t="s">
        <v>255</v>
      </c>
      <c r="W70" s="20"/>
      <c r="X70" s="19"/>
      <c r="Y70" s="21">
        <v>50</v>
      </c>
      <c r="Z70" s="36" cm="1">
        <f t="array" ref="Z70">Vorlauf(Tabelle1[[#This Row],[Anbieter]])</f>
        <v>6</v>
      </c>
      <c r="AA70" s="37">
        <f>IFERROR(EDATE(Tabelle1[[#This Row],[Vertragsende]], -Tabelle1[[#This Row],[Vorlauf]]) + 1, "")</f>
        <v>44821</v>
      </c>
      <c r="AB70" s="37">
        <f>IFERROR(EDATE(Tabelle1[[#This Row],[Vertragsende]], -Tabelle1[[#This Row],[Vorlauf]] - 1) + 1, "")</f>
        <v>44790</v>
      </c>
    </row>
    <row r="71" spans="1:28" x14ac:dyDescent="0.25">
      <c r="A71" s="35">
        <f t="shared" si="2"/>
        <v>68</v>
      </c>
      <c r="B71" s="16" t="s">
        <v>258</v>
      </c>
      <c r="C71" s="16" t="s">
        <v>259</v>
      </c>
      <c r="D71" s="16" t="s">
        <v>65</v>
      </c>
      <c r="E71" s="16" t="s">
        <v>66</v>
      </c>
      <c r="F71" s="16" t="s">
        <v>67</v>
      </c>
      <c r="G71" s="18"/>
      <c r="H71" s="18" t="s">
        <v>306</v>
      </c>
      <c r="I71" s="32">
        <v>45051</v>
      </c>
      <c r="J71" s="32">
        <v>44871</v>
      </c>
      <c r="K71" s="32">
        <v>44835</v>
      </c>
      <c r="L71" s="16"/>
      <c r="M71" s="16"/>
      <c r="N71" s="18" t="s">
        <v>313</v>
      </c>
      <c r="O71" s="22" t="s">
        <v>68</v>
      </c>
      <c r="P71" s="22" t="s">
        <v>78</v>
      </c>
      <c r="Q71" s="22"/>
      <c r="R71" s="22"/>
      <c r="S71" s="22"/>
      <c r="T71" s="33">
        <v>44922</v>
      </c>
      <c r="U71" s="19" t="s">
        <v>78</v>
      </c>
      <c r="V71" s="19" t="s">
        <v>260</v>
      </c>
      <c r="W71" s="20"/>
      <c r="X71" s="19"/>
      <c r="Y71" s="21">
        <v>190</v>
      </c>
      <c r="Z71" s="36" cm="1">
        <f t="array" ref="Z71">Vorlauf(Tabelle1[[#This Row],[Anbieter]])</f>
        <v>6</v>
      </c>
      <c r="AA71" s="37">
        <f>IFERROR(EDATE(Tabelle1[[#This Row],[Vertragsende]], -Tabelle1[[#This Row],[Vorlauf]]) + 1, "")</f>
        <v>44871</v>
      </c>
      <c r="AB71" s="37">
        <f>IFERROR(EDATE(Tabelle1[[#This Row],[Vertragsende]], -Tabelle1[[#This Row],[Vorlauf]] - 1) + 1, "")</f>
        <v>44840</v>
      </c>
    </row>
    <row r="72" spans="1:28" x14ac:dyDescent="0.25">
      <c r="A72" s="35">
        <f t="shared" si="2"/>
        <v>69</v>
      </c>
      <c r="B72" s="16" t="s">
        <v>261</v>
      </c>
      <c r="C72" s="16" t="s">
        <v>262</v>
      </c>
      <c r="D72" s="16" t="s">
        <v>65</v>
      </c>
      <c r="E72" s="16" t="s">
        <v>66</v>
      </c>
      <c r="F72" s="16" t="s">
        <v>67</v>
      </c>
      <c r="G72" s="18"/>
      <c r="H72" s="18" t="s">
        <v>306</v>
      </c>
      <c r="I72" s="32">
        <v>45056</v>
      </c>
      <c r="J72" s="32">
        <v>44876</v>
      </c>
      <c r="K72" s="32">
        <v>44835</v>
      </c>
      <c r="L72" s="16"/>
      <c r="M72" s="16"/>
      <c r="N72" s="18" t="s">
        <v>313</v>
      </c>
      <c r="O72" s="22" t="s">
        <v>68</v>
      </c>
      <c r="P72" s="22" t="s">
        <v>78</v>
      </c>
      <c r="Q72" s="22"/>
      <c r="R72" s="22"/>
      <c r="S72" s="22"/>
      <c r="T72" s="33">
        <v>44922</v>
      </c>
      <c r="U72" s="19" t="s">
        <v>78</v>
      </c>
      <c r="V72" s="19"/>
      <c r="W72" s="20"/>
      <c r="X72" s="19"/>
      <c r="Y72" s="21">
        <v>190</v>
      </c>
      <c r="Z72" s="36" cm="1">
        <f t="array" ref="Z72">Vorlauf(Tabelle1[[#This Row],[Anbieter]])</f>
        <v>6</v>
      </c>
      <c r="AA72" s="37">
        <f>IFERROR(EDATE(Tabelle1[[#This Row],[Vertragsende]], -Tabelle1[[#This Row],[Vorlauf]]) + 1, "")</f>
        <v>44876</v>
      </c>
      <c r="AB72" s="37">
        <f>IFERROR(EDATE(Tabelle1[[#This Row],[Vertragsende]], -Tabelle1[[#This Row],[Vorlauf]] - 1) + 1, "")</f>
        <v>44845</v>
      </c>
    </row>
    <row r="73" spans="1:28" x14ac:dyDescent="0.25">
      <c r="A73" s="35">
        <f t="shared" si="2"/>
        <v>70</v>
      </c>
      <c r="B73" s="16" t="s">
        <v>263</v>
      </c>
      <c r="C73" s="16" t="s">
        <v>264</v>
      </c>
      <c r="D73" s="16" t="s">
        <v>65</v>
      </c>
      <c r="E73" s="16" t="s">
        <v>66</v>
      </c>
      <c r="F73" s="16" t="s">
        <v>67</v>
      </c>
      <c r="G73" s="18"/>
      <c r="H73" s="18" t="s">
        <v>306</v>
      </c>
      <c r="I73" s="32">
        <v>45276</v>
      </c>
      <c r="J73" s="32">
        <v>45094</v>
      </c>
      <c r="K73" s="32">
        <v>45047</v>
      </c>
      <c r="L73" s="16"/>
      <c r="M73" s="16"/>
      <c r="N73" s="18" t="s">
        <v>313</v>
      </c>
      <c r="O73" s="22" t="s">
        <v>68</v>
      </c>
      <c r="P73" s="22" t="s">
        <v>78</v>
      </c>
      <c r="Q73" s="22"/>
      <c r="R73" s="22"/>
      <c r="S73" s="22"/>
      <c r="T73" s="33">
        <v>45248</v>
      </c>
      <c r="U73" s="19" t="s">
        <v>265</v>
      </c>
      <c r="V73" s="19" t="s">
        <v>266</v>
      </c>
      <c r="W73" s="20"/>
      <c r="X73" s="19"/>
      <c r="Y73" s="21">
        <v>265</v>
      </c>
      <c r="Z73" s="36" cm="1">
        <f t="array" ref="Z73">Vorlauf(Tabelle1[[#This Row],[Anbieter]])</f>
        <v>6</v>
      </c>
      <c r="AA73" s="37">
        <f>IFERROR(EDATE(Tabelle1[[#This Row],[Vertragsende]], -Tabelle1[[#This Row],[Vorlauf]]) + 1, "")</f>
        <v>45094</v>
      </c>
      <c r="AB73" s="37">
        <f>IFERROR(EDATE(Tabelle1[[#This Row],[Vertragsende]], -Tabelle1[[#This Row],[Vorlauf]] - 1) + 1, "")</f>
        <v>45063</v>
      </c>
    </row>
    <row r="74" spans="1:28" x14ac:dyDescent="0.25">
      <c r="A74" s="35">
        <f t="shared" si="2"/>
        <v>71</v>
      </c>
      <c r="B74" s="16" t="s">
        <v>267</v>
      </c>
      <c r="C74" s="16" t="s">
        <v>268</v>
      </c>
      <c r="D74" s="16" t="s">
        <v>65</v>
      </c>
      <c r="E74" s="16" t="s">
        <v>66</v>
      </c>
      <c r="F74" s="16" t="s">
        <v>67</v>
      </c>
      <c r="G74" s="18"/>
      <c r="H74" s="18" t="s">
        <v>306</v>
      </c>
      <c r="I74" s="32">
        <v>45276</v>
      </c>
      <c r="J74" s="32">
        <v>45094</v>
      </c>
      <c r="K74" s="32">
        <v>45047</v>
      </c>
      <c r="L74" s="16"/>
      <c r="M74" s="16"/>
      <c r="N74" s="18" t="s">
        <v>313</v>
      </c>
      <c r="O74" s="22" t="s">
        <v>68</v>
      </c>
      <c r="P74" s="22" t="s">
        <v>78</v>
      </c>
      <c r="Q74" s="22"/>
      <c r="R74" s="22"/>
      <c r="S74" s="22"/>
      <c r="T74" s="33">
        <v>45248</v>
      </c>
      <c r="U74" s="19" t="s">
        <v>265</v>
      </c>
      <c r="V74" s="19"/>
      <c r="W74" s="20"/>
      <c r="X74" s="19"/>
      <c r="Y74" s="21">
        <v>265</v>
      </c>
      <c r="Z74" s="36" cm="1">
        <f t="array" ref="Z74">Vorlauf(Tabelle1[[#This Row],[Anbieter]])</f>
        <v>6</v>
      </c>
      <c r="AA74" s="37">
        <f>IFERROR(EDATE(Tabelle1[[#This Row],[Vertragsende]], -Tabelle1[[#This Row],[Vorlauf]]) + 1, "")</f>
        <v>45094</v>
      </c>
      <c r="AB74" s="37">
        <f>IFERROR(EDATE(Tabelle1[[#This Row],[Vertragsende]], -Tabelle1[[#This Row],[Vorlauf]] - 1) + 1, "")</f>
        <v>45063</v>
      </c>
    </row>
    <row r="75" spans="1:28" x14ac:dyDescent="0.25">
      <c r="A75" s="35">
        <f t="shared" si="2"/>
        <v>72</v>
      </c>
      <c r="B75" s="16" t="s">
        <v>269</v>
      </c>
      <c r="C75" s="16" t="s">
        <v>270</v>
      </c>
      <c r="D75" s="16" t="s">
        <v>65</v>
      </c>
      <c r="E75" s="16" t="s">
        <v>66</v>
      </c>
      <c r="F75" s="16" t="s">
        <v>67</v>
      </c>
      <c r="G75" s="18"/>
      <c r="H75" s="18"/>
      <c r="I75" s="32">
        <v>45276</v>
      </c>
      <c r="J75" s="32">
        <v>45094</v>
      </c>
      <c r="K75" s="32">
        <v>45047</v>
      </c>
      <c r="L75" s="16"/>
      <c r="M75" s="16"/>
      <c r="N75" s="18" t="s">
        <v>313</v>
      </c>
      <c r="O75" s="22" t="s">
        <v>68</v>
      </c>
      <c r="P75" s="22" t="s">
        <v>78</v>
      </c>
      <c r="Q75" s="22"/>
      <c r="R75" s="22"/>
      <c r="S75" s="22"/>
      <c r="T75" s="33">
        <v>45248</v>
      </c>
      <c r="U75" s="19" t="s">
        <v>78</v>
      </c>
      <c r="V75" s="19" t="s">
        <v>260</v>
      </c>
      <c r="W75" s="20"/>
      <c r="X75" s="19"/>
      <c r="Y75" s="21">
        <v>170</v>
      </c>
      <c r="Z75" s="36" cm="1">
        <f t="array" ref="Z75">Vorlauf(Tabelle1[[#This Row],[Anbieter]])</f>
        <v>6</v>
      </c>
      <c r="AA75" s="37">
        <f>IFERROR(EDATE(Tabelle1[[#This Row],[Vertragsende]], -Tabelle1[[#This Row],[Vorlauf]]) + 1, "")</f>
        <v>45094</v>
      </c>
      <c r="AB75" s="37">
        <f>IFERROR(EDATE(Tabelle1[[#This Row],[Vertragsende]], -Tabelle1[[#This Row],[Vorlauf]] - 1) + 1, "")</f>
        <v>45063</v>
      </c>
    </row>
    <row r="76" spans="1:28" x14ac:dyDescent="0.25">
      <c r="A76" s="35">
        <f t="shared" si="2"/>
        <v>73</v>
      </c>
      <c r="B76" s="16" t="s">
        <v>271</v>
      </c>
      <c r="C76" s="16" t="s">
        <v>272</v>
      </c>
      <c r="D76" s="16" t="s">
        <v>65</v>
      </c>
      <c r="E76" s="16" t="s">
        <v>66</v>
      </c>
      <c r="F76" s="16" t="s">
        <v>67</v>
      </c>
      <c r="G76" s="18" t="s">
        <v>306</v>
      </c>
      <c r="H76" s="18"/>
      <c r="I76" s="32">
        <v>44738</v>
      </c>
      <c r="J76" s="32"/>
      <c r="K76" s="32"/>
      <c r="L76" s="16"/>
      <c r="M76" s="16"/>
      <c r="N76" s="18" t="s">
        <v>313</v>
      </c>
      <c r="O76" s="22" t="s">
        <v>68</v>
      </c>
      <c r="P76" s="22" t="s">
        <v>69</v>
      </c>
      <c r="Q76" s="22"/>
      <c r="R76" s="22"/>
      <c r="S76" s="22"/>
      <c r="T76" s="33"/>
      <c r="U76" s="19"/>
      <c r="V76" s="19"/>
      <c r="W76" s="20"/>
      <c r="X76" s="19"/>
      <c r="Y76" s="21"/>
      <c r="Z76" s="36" cm="1">
        <f t="array" ref="Z76">Vorlauf(Tabelle1[[#This Row],[Anbieter]])</f>
        <v>6</v>
      </c>
      <c r="AA76" s="37">
        <f>IFERROR(EDATE(Tabelle1[[#This Row],[Vertragsende]], -Tabelle1[[#This Row],[Vorlauf]]) + 1, "")</f>
        <v>44557</v>
      </c>
      <c r="AB76" s="37">
        <f>IFERROR(EDATE(Tabelle1[[#This Row],[Vertragsende]], -Tabelle1[[#This Row],[Vorlauf]] - 1) + 1, "")</f>
        <v>44527</v>
      </c>
    </row>
    <row r="77" spans="1:28" x14ac:dyDescent="0.25">
      <c r="A77" s="35">
        <f t="shared" si="2"/>
        <v>74</v>
      </c>
      <c r="B77" s="16" t="s">
        <v>273</v>
      </c>
      <c r="C77" s="16" t="s">
        <v>274</v>
      </c>
      <c r="D77" s="16" t="s">
        <v>65</v>
      </c>
      <c r="E77" s="16" t="s">
        <v>66</v>
      </c>
      <c r="F77" s="16" t="s">
        <v>67</v>
      </c>
      <c r="G77" s="18" t="s">
        <v>306</v>
      </c>
      <c r="H77" s="18"/>
      <c r="I77" s="32">
        <v>44738</v>
      </c>
      <c r="J77" s="32"/>
      <c r="K77" s="32"/>
      <c r="L77" s="16"/>
      <c r="M77" s="16"/>
      <c r="N77" s="18" t="s">
        <v>313</v>
      </c>
      <c r="O77" s="22" t="s">
        <v>68</v>
      </c>
      <c r="P77" s="22" t="s">
        <v>69</v>
      </c>
      <c r="Q77" s="22"/>
      <c r="R77" s="22"/>
      <c r="S77" s="22"/>
      <c r="T77" s="33"/>
      <c r="U77" s="19"/>
      <c r="V77" s="19"/>
      <c r="W77" s="20"/>
      <c r="X77" s="19"/>
      <c r="Y77" s="21"/>
      <c r="Z77" s="36" cm="1">
        <f t="array" ref="Z77">Vorlauf(Tabelle1[[#This Row],[Anbieter]])</f>
        <v>6</v>
      </c>
      <c r="AA77" s="37">
        <f>IFERROR(EDATE(Tabelle1[[#This Row],[Vertragsende]], -Tabelle1[[#This Row],[Vorlauf]]) + 1, "")</f>
        <v>44557</v>
      </c>
      <c r="AB77" s="37">
        <f>IFERROR(EDATE(Tabelle1[[#This Row],[Vertragsende]], -Tabelle1[[#This Row],[Vorlauf]] - 1) + 1, "")</f>
        <v>44527</v>
      </c>
    </row>
    <row r="78" spans="1:28" x14ac:dyDescent="0.25">
      <c r="A78" s="35">
        <f t="shared" si="2"/>
        <v>75</v>
      </c>
      <c r="B78" s="16" t="s">
        <v>275</v>
      </c>
      <c r="C78" s="16" t="s">
        <v>276</v>
      </c>
      <c r="D78" s="16" t="s">
        <v>65</v>
      </c>
      <c r="E78" s="16" t="s">
        <v>66</v>
      </c>
      <c r="F78" s="16" t="s">
        <v>67</v>
      </c>
      <c r="G78" s="18" t="s">
        <v>306</v>
      </c>
      <c r="H78" s="18"/>
      <c r="I78" s="32">
        <v>44738</v>
      </c>
      <c r="J78" s="32"/>
      <c r="K78" s="32"/>
      <c r="L78" s="16"/>
      <c r="M78" s="16"/>
      <c r="N78" s="18" t="s">
        <v>313</v>
      </c>
      <c r="O78" s="22" t="s">
        <v>68</v>
      </c>
      <c r="P78" s="22" t="s">
        <v>69</v>
      </c>
      <c r="Q78" s="22"/>
      <c r="R78" s="22"/>
      <c r="S78" s="22"/>
      <c r="T78" s="33"/>
      <c r="U78" s="19"/>
      <c r="V78" s="19"/>
      <c r="W78" s="20"/>
      <c r="X78" s="19"/>
      <c r="Y78" s="21"/>
      <c r="Z78" s="36" cm="1">
        <f t="array" ref="Z78">Vorlauf(Tabelle1[[#This Row],[Anbieter]])</f>
        <v>6</v>
      </c>
      <c r="AA78" s="37">
        <f>IFERROR(EDATE(Tabelle1[[#This Row],[Vertragsende]], -Tabelle1[[#This Row],[Vorlauf]]) + 1, "")</f>
        <v>44557</v>
      </c>
      <c r="AB78" s="37">
        <f>IFERROR(EDATE(Tabelle1[[#This Row],[Vertragsende]], -Tabelle1[[#This Row],[Vorlauf]] - 1) + 1, "")</f>
        <v>44527</v>
      </c>
    </row>
    <row r="79" spans="1:28" x14ac:dyDescent="0.25">
      <c r="A79" s="35">
        <f t="shared" si="2"/>
        <v>76</v>
      </c>
      <c r="B79" s="16" t="s">
        <v>277</v>
      </c>
      <c r="C79" s="16" t="s">
        <v>278</v>
      </c>
      <c r="D79" s="16" t="s">
        <v>65</v>
      </c>
      <c r="E79" s="16" t="s">
        <v>66</v>
      </c>
      <c r="F79" s="16" t="s">
        <v>67</v>
      </c>
      <c r="G79" s="18" t="s">
        <v>306</v>
      </c>
      <c r="H79" s="18"/>
      <c r="I79" s="32">
        <v>44738</v>
      </c>
      <c r="J79" s="32"/>
      <c r="K79" s="32"/>
      <c r="L79" s="16"/>
      <c r="M79" s="16"/>
      <c r="N79" s="18" t="s">
        <v>313</v>
      </c>
      <c r="O79" s="22" t="s">
        <v>68</v>
      </c>
      <c r="P79" s="22" t="s">
        <v>69</v>
      </c>
      <c r="Q79" s="22"/>
      <c r="R79" s="22"/>
      <c r="S79" s="22"/>
      <c r="T79" s="33"/>
      <c r="U79" s="19"/>
      <c r="V79" s="19"/>
      <c r="W79" s="20"/>
      <c r="X79" s="19"/>
      <c r="Y79" s="21"/>
      <c r="Z79" s="36" cm="1">
        <f t="array" ref="Z79">Vorlauf(Tabelle1[[#This Row],[Anbieter]])</f>
        <v>6</v>
      </c>
      <c r="AA79" s="37">
        <f>IFERROR(EDATE(Tabelle1[[#This Row],[Vertragsende]], -Tabelle1[[#This Row],[Vorlauf]]) + 1, "")</f>
        <v>44557</v>
      </c>
      <c r="AB79" s="37">
        <f>IFERROR(EDATE(Tabelle1[[#This Row],[Vertragsende]], -Tabelle1[[#This Row],[Vorlauf]] - 1) + 1, "")</f>
        <v>44527</v>
      </c>
    </row>
    <row r="80" spans="1:28" x14ac:dyDescent="0.25">
      <c r="A80" s="35">
        <f t="shared" si="2"/>
        <v>77</v>
      </c>
      <c r="B80" s="16" t="s">
        <v>279</v>
      </c>
      <c r="C80" s="16" t="s">
        <v>280</v>
      </c>
      <c r="D80" s="16" t="s">
        <v>65</v>
      </c>
      <c r="E80" s="16" t="s">
        <v>66</v>
      </c>
      <c r="F80" s="16" t="s">
        <v>67</v>
      </c>
      <c r="G80" s="18" t="s">
        <v>306</v>
      </c>
      <c r="H80" s="18"/>
      <c r="I80" s="32">
        <v>44738</v>
      </c>
      <c r="J80" s="32"/>
      <c r="K80" s="32"/>
      <c r="L80" s="16"/>
      <c r="M80" s="16"/>
      <c r="N80" s="18" t="s">
        <v>313</v>
      </c>
      <c r="O80" s="22" t="s">
        <v>68</v>
      </c>
      <c r="P80" s="22" t="s">
        <v>69</v>
      </c>
      <c r="Q80" s="22"/>
      <c r="R80" s="22"/>
      <c r="S80" s="22"/>
      <c r="T80" s="33"/>
      <c r="U80" s="19"/>
      <c r="V80" s="19"/>
      <c r="W80" s="20"/>
      <c r="X80" s="19"/>
      <c r="Y80" s="21"/>
      <c r="Z80" s="36" cm="1">
        <f t="array" ref="Z80">Vorlauf(Tabelle1[[#This Row],[Anbieter]])</f>
        <v>6</v>
      </c>
      <c r="AA80" s="37">
        <f>IFERROR(EDATE(Tabelle1[[#This Row],[Vertragsende]], -Tabelle1[[#This Row],[Vorlauf]]) + 1, "")</f>
        <v>44557</v>
      </c>
      <c r="AB80" s="37">
        <f>IFERROR(EDATE(Tabelle1[[#This Row],[Vertragsende]], -Tabelle1[[#This Row],[Vorlauf]] - 1) + 1, "")</f>
        <v>44527</v>
      </c>
    </row>
    <row r="81" spans="1:28" x14ac:dyDescent="0.25">
      <c r="A81" s="35">
        <f t="shared" si="2"/>
        <v>78</v>
      </c>
      <c r="B81" s="16" t="s">
        <v>281</v>
      </c>
      <c r="C81" s="16" t="s">
        <v>282</v>
      </c>
      <c r="D81" s="16" t="s">
        <v>65</v>
      </c>
      <c r="E81" s="16" t="s">
        <v>66</v>
      </c>
      <c r="F81" s="16" t="s">
        <v>67</v>
      </c>
      <c r="G81" s="18" t="s">
        <v>306</v>
      </c>
      <c r="H81" s="18"/>
      <c r="I81" s="32">
        <v>44738</v>
      </c>
      <c r="J81" s="32"/>
      <c r="K81" s="32"/>
      <c r="L81" s="16"/>
      <c r="M81" s="16"/>
      <c r="N81" s="18" t="s">
        <v>313</v>
      </c>
      <c r="O81" s="22" t="s">
        <v>68</v>
      </c>
      <c r="P81" s="22" t="s">
        <v>69</v>
      </c>
      <c r="Q81" s="22"/>
      <c r="R81" s="22"/>
      <c r="S81" s="22"/>
      <c r="T81" s="33"/>
      <c r="U81" s="19"/>
      <c r="V81" s="19"/>
      <c r="W81" s="20"/>
      <c r="X81" s="19"/>
      <c r="Y81" s="21"/>
      <c r="Z81" s="36" cm="1">
        <f t="array" ref="Z81">Vorlauf(Tabelle1[[#This Row],[Anbieter]])</f>
        <v>6</v>
      </c>
      <c r="AA81" s="37">
        <f>IFERROR(EDATE(Tabelle1[[#This Row],[Vertragsende]], -Tabelle1[[#This Row],[Vorlauf]]) + 1, "")</f>
        <v>44557</v>
      </c>
      <c r="AB81" s="37">
        <f>IFERROR(EDATE(Tabelle1[[#This Row],[Vertragsende]], -Tabelle1[[#This Row],[Vorlauf]] - 1) + 1, "")</f>
        <v>44527</v>
      </c>
    </row>
    <row r="82" spans="1:28" x14ac:dyDescent="0.25">
      <c r="A82" s="35">
        <f t="shared" si="2"/>
        <v>79</v>
      </c>
      <c r="B82" s="16" t="s">
        <v>283</v>
      </c>
      <c r="C82" s="16" t="s">
        <v>284</v>
      </c>
      <c r="D82" s="16" t="s">
        <v>65</v>
      </c>
      <c r="E82" s="16" t="s">
        <v>66</v>
      </c>
      <c r="F82" s="16" t="s">
        <v>67</v>
      </c>
      <c r="G82" s="18" t="s">
        <v>306</v>
      </c>
      <c r="H82" s="18"/>
      <c r="I82" s="32">
        <v>44738</v>
      </c>
      <c r="J82" s="32"/>
      <c r="K82" s="32"/>
      <c r="L82" s="16"/>
      <c r="M82" s="16"/>
      <c r="N82" s="18" t="s">
        <v>313</v>
      </c>
      <c r="O82" s="22" t="s">
        <v>68</v>
      </c>
      <c r="P82" s="22" t="s">
        <v>69</v>
      </c>
      <c r="Q82" s="22"/>
      <c r="R82" s="22"/>
      <c r="S82" s="22"/>
      <c r="T82" s="33"/>
      <c r="U82" s="19"/>
      <c r="V82" s="19"/>
      <c r="W82" s="20"/>
      <c r="X82" s="19"/>
      <c r="Y82" s="21"/>
      <c r="Z82" s="36" cm="1">
        <f t="array" ref="Z82">Vorlauf(Tabelle1[[#This Row],[Anbieter]])</f>
        <v>6</v>
      </c>
      <c r="AA82" s="37">
        <f>IFERROR(EDATE(Tabelle1[[#This Row],[Vertragsende]], -Tabelle1[[#This Row],[Vorlauf]]) + 1, "")</f>
        <v>44557</v>
      </c>
      <c r="AB82" s="37">
        <f>IFERROR(EDATE(Tabelle1[[#This Row],[Vertragsende]], -Tabelle1[[#This Row],[Vorlauf]] - 1) + 1, "")</f>
        <v>44527</v>
      </c>
    </row>
    <row r="83" spans="1:28" x14ac:dyDescent="0.25">
      <c r="A83" s="35">
        <f t="shared" si="2"/>
        <v>80</v>
      </c>
      <c r="B83" s="16" t="s">
        <v>285</v>
      </c>
      <c r="C83" s="16" t="s">
        <v>286</v>
      </c>
      <c r="D83" s="16" t="s">
        <v>65</v>
      </c>
      <c r="E83" s="16" t="s">
        <v>66</v>
      </c>
      <c r="F83" s="16" t="s">
        <v>67</v>
      </c>
      <c r="G83" s="18" t="s">
        <v>306</v>
      </c>
      <c r="H83" s="18"/>
      <c r="I83" s="32">
        <v>44738</v>
      </c>
      <c r="J83" s="32"/>
      <c r="K83" s="32"/>
      <c r="L83" s="16"/>
      <c r="M83" s="16"/>
      <c r="N83" s="18" t="s">
        <v>313</v>
      </c>
      <c r="O83" s="22" t="s">
        <v>68</v>
      </c>
      <c r="P83" s="22" t="s">
        <v>69</v>
      </c>
      <c r="Q83" s="22"/>
      <c r="R83" s="22"/>
      <c r="S83" s="22"/>
      <c r="T83" s="33"/>
      <c r="U83" s="19"/>
      <c r="V83" s="19"/>
      <c r="W83" s="20"/>
      <c r="X83" s="19"/>
      <c r="Y83" s="21"/>
      <c r="Z83" s="36" cm="1">
        <f t="array" ref="Z83">Vorlauf(Tabelle1[[#This Row],[Anbieter]])</f>
        <v>6</v>
      </c>
      <c r="AA83" s="37">
        <f>IFERROR(EDATE(Tabelle1[[#This Row],[Vertragsende]], -Tabelle1[[#This Row],[Vorlauf]]) + 1, "")</f>
        <v>44557</v>
      </c>
      <c r="AB83" s="37">
        <f>IFERROR(EDATE(Tabelle1[[#This Row],[Vertragsende]], -Tabelle1[[#This Row],[Vorlauf]] - 1) + 1, "")</f>
        <v>44527</v>
      </c>
    </row>
    <row r="84" spans="1:28" x14ac:dyDescent="0.25">
      <c r="A84" s="35">
        <f t="shared" si="2"/>
        <v>81</v>
      </c>
      <c r="B84" s="16" t="s">
        <v>287</v>
      </c>
      <c r="C84" s="16" t="s">
        <v>288</v>
      </c>
      <c r="D84" s="16" t="s">
        <v>65</v>
      </c>
      <c r="E84" s="16" t="s">
        <v>66</v>
      </c>
      <c r="F84" s="16" t="s">
        <v>67</v>
      </c>
      <c r="G84" s="18" t="s">
        <v>306</v>
      </c>
      <c r="H84" s="18"/>
      <c r="I84" s="32">
        <v>44738</v>
      </c>
      <c r="J84" s="32"/>
      <c r="K84" s="32"/>
      <c r="L84" s="16"/>
      <c r="M84" s="16"/>
      <c r="N84" s="18" t="s">
        <v>313</v>
      </c>
      <c r="O84" s="22" t="s">
        <v>68</v>
      </c>
      <c r="P84" s="22" t="s">
        <v>69</v>
      </c>
      <c r="Q84" s="22"/>
      <c r="R84" s="22"/>
      <c r="S84" s="22"/>
      <c r="T84" s="33"/>
      <c r="U84" s="19"/>
      <c r="V84" s="19"/>
      <c r="W84" s="20"/>
      <c r="X84" s="19"/>
      <c r="Y84" s="21"/>
      <c r="Z84" s="36" cm="1">
        <f t="array" ref="Z84">Vorlauf(Tabelle1[[#This Row],[Anbieter]])</f>
        <v>6</v>
      </c>
      <c r="AA84" s="37">
        <f>IFERROR(EDATE(Tabelle1[[#This Row],[Vertragsende]], -Tabelle1[[#This Row],[Vorlauf]]) + 1, "")</f>
        <v>44557</v>
      </c>
      <c r="AB84" s="37">
        <f>IFERROR(EDATE(Tabelle1[[#This Row],[Vertragsende]], -Tabelle1[[#This Row],[Vorlauf]] - 1) + 1, "")</f>
        <v>44527</v>
      </c>
    </row>
    <row r="85" spans="1:28" x14ac:dyDescent="0.25">
      <c r="A85" s="35">
        <f t="shared" si="2"/>
        <v>82</v>
      </c>
      <c r="B85" s="16" t="s">
        <v>289</v>
      </c>
      <c r="C85" s="16" t="s">
        <v>290</v>
      </c>
      <c r="D85" s="16" t="s">
        <v>65</v>
      </c>
      <c r="E85" s="16" t="s">
        <v>66</v>
      </c>
      <c r="F85" s="16" t="s">
        <v>67</v>
      </c>
      <c r="G85" s="18" t="s">
        <v>306</v>
      </c>
      <c r="H85" s="18"/>
      <c r="I85" s="32">
        <v>44738</v>
      </c>
      <c r="J85" s="32"/>
      <c r="K85" s="32"/>
      <c r="L85" s="16"/>
      <c r="M85" s="16"/>
      <c r="N85" s="18" t="s">
        <v>313</v>
      </c>
      <c r="O85" s="22" t="s">
        <v>68</v>
      </c>
      <c r="P85" s="22" t="s">
        <v>69</v>
      </c>
      <c r="Q85" s="22"/>
      <c r="R85" s="22"/>
      <c r="S85" s="22"/>
      <c r="T85" s="33"/>
      <c r="U85" s="19"/>
      <c r="V85" s="19"/>
      <c r="W85" s="20"/>
      <c r="X85" s="19"/>
      <c r="Y85" s="21"/>
      <c r="Z85" s="36" cm="1">
        <f t="array" ref="Z85">Vorlauf(Tabelle1[[#This Row],[Anbieter]])</f>
        <v>6</v>
      </c>
      <c r="AA85" s="37">
        <f>IFERROR(EDATE(Tabelle1[[#This Row],[Vertragsende]], -Tabelle1[[#This Row],[Vorlauf]]) + 1, "")</f>
        <v>44557</v>
      </c>
      <c r="AB85" s="37">
        <f>IFERROR(EDATE(Tabelle1[[#This Row],[Vertragsende]], -Tabelle1[[#This Row],[Vorlauf]] - 1) + 1, "")</f>
        <v>44527</v>
      </c>
    </row>
    <row r="86" spans="1:28" x14ac:dyDescent="0.25">
      <c r="A86" s="35">
        <f t="shared" si="2"/>
        <v>83</v>
      </c>
      <c r="B86" s="16" t="s">
        <v>291</v>
      </c>
      <c r="C86" s="16" t="s">
        <v>292</v>
      </c>
      <c r="D86" s="16" t="s">
        <v>65</v>
      </c>
      <c r="E86" s="16" t="s">
        <v>66</v>
      </c>
      <c r="F86" s="16" t="s">
        <v>67</v>
      </c>
      <c r="G86" s="18" t="s">
        <v>306</v>
      </c>
      <c r="H86" s="18"/>
      <c r="I86" s="32">
        <v>44902</v>
      </c>
      <c r="J86" s="32"/>
      <c r="K86" s="32"/>
      <c r="L86" s="16"/>
      <c r="M86" s="16"/>
      <c r="N86" s="18" t="s">
        <v>313</v>
      </c>
      <c r="O86" s="22" t="s">
        <v>68</v>
      </c>
      <c r="P86" s="22" t="s">
        <v>69</v>
      </c>
      <c r="Q86" s="22"/>
      <c r="R86" s="22"/>
      <c r="S86" s="22"/>
      <c r="T86" s="33"/>
      <c r="U86" s="19"/>
      <c r="V86" s="19"/>
      <c r="W86" s="20"/>
      <c r="X86" s="19"/>
      <c r="Y86" s="21"/>
      <c r="Z86" s="36" cm="1">
        <f t="array" ref="Z86">Vorlauf(Tabelle1[[#This Row],[Anbieter]])</f>
        <v>6</v>
      </c>
      <c r="AA86" s="37">
        <f>IFERROR(EDATE(Tabelle1[[#This Row],[Vertragsende]], -Tabelle1[[#This Row],[Vorlauf]]) + 1, "")</f>
        <v>44720</v>
      </c>
      <c r="AB86" s="37">
        <f>IFERROR(EDATE(Tabelle1[[#This Row],[Vertragsende]], -Tabelle1[[#This Row],[Vorlauf]] - 1) + 1, "")</f>
        <v>44689</v>
      </c>
    </row>
    <row r="87" spans="1:28" x14ac:dyDescent="0.25">
      <c r="A87" s="35">
        <f t="shared" si="2"/>
        <v>84</v>
      </c>
      <c r="B87" s="16" t="s">
        <v>293</v>
      </c>
      <c r="C87" s="16" t="s">
        <v>294</v>
      </c>
      <c r="D87" s="16" t="s">
        <v>65</v>
      </c>
      <c r="E87" s="16" t="s">
        <v>66</v>
      </c>
      <c r="F87" s="16" t="s">
        <v>67</v>
      </c>
      <c r="G87" s="18" t="s">
        <v>306</v>
      </c>
      <c r="H87" s="18"/>
      <c r="I87" s="32">
        <v>44902</v>
      </c>
      <c r="J87" s="32"/>
      <c r="K87" s="32"/>
      <c r="L87" s="16"/>
      <c r="M87" s="16"/>
      <c r="N87" s="18" t="s">
        <v>313</v>
      </c>
      <c r="O87" s="22" t="s">
        <v>68</v>
      </c>
      <c r="P87" s="22" t="s">
        <v>69</v>
      </c>
      <c r="Q87" s="22"/>
      <c r="R87" s="22"/>
      <c r="S87" s="22"/>
      <c r="T87" s="33"/>
      <c r="U87" s="19"/>
      <c r="V87" s="19"/>
      <c r="W87" s="20"/>
      <c r="X87" s="19"/>
      <c r="Y87" s="21"/>
      <c r="Z87" s="36" cm="1">
        <f t="array" ref="Z87">Vorlauf(Tabelle1[[#This Row],[Anbieter]])</f>
        <v>6</v>
      </c>
      <c r="AA87" s="37">
        <f>IFERROR(EDATE(Tabelle1[[#This Row],[Vertragsende]], -Tabelle1[[#This Row],[Vorlauf]]) + 1, "")</f>
        <v>44720</v>
      </c>
      <c r="AB87" s="37">
        <f>IFERROR(EDATE(Tabelle1[[#This Row],[Vertragsende]], -Tabelle1[[#This Row],[Vorlauf]] - 1) + 1, "")</f>
        <v>44689</v>
      </c>
    </row>
    <row r="88" spans="1:28" x14ac:dyDescent="0.25">
      <c r="A88" s="35">
        <f t="shared" si="2"/>
        <v>85</v>
      </c>
      <c r="B88" s="16" t="s">
        <v>295</v>
      </c>
      <c r="C88" s="16" t="s">
        <v>296</v>
      </c>
      <c r="D88" s="16" t="s">
        <v>65</v>
      </c>
      <c r="E88" s="16" t="s">
        <v>66</v>
      </c>
      <c r="F88" s="16" t="s">
        <v>67</v>
      </c>
      <c r="G88" s="18" t="s">
        <v>306</v>
      </c>
      <c r="H88" s="18"/>
      <c r="I88" s="32">
        <v>44902</v>
      </c>
      <c r="J88" s="32"/>
      <c r="K88" s="32"/>
      <c r="L88" s="16"/>
      <c r="M88" s="16"/>
      <c r="N88" s="18" t="s">
        <v>313</v>
      </c>
      <c r="O88" s="22" t="s">
        <v>68</v>
      </c>
      <c r="P88" s="22" t="s">
        <v>69</v>
      </c>
      <c r="Q88" s="22"/>
      <c r="R88" s="22"/>
      <c r="S88" s="22"/>
      <c r="T88" s="33"/>
      <c r="U88" s="19"/>
      <c r="V88" s="19"/>
      <c r="W88" s="20"/>
      <c r="X88" s="19"/>
      <c r="Y88" s="21"/>
      <c r="Z88" s="36" cm="1">
        <f t="array" ref="Z88">Vorlauf(Tabelle1[[#This Row],[Anbieter]])</f>
        <v>6</v>
      </c>
      <c r="AA88" s="37">
        <f>IFERROR(EDATE(Tabelle1[[#This Row],[Vertragsende]], -Tabelle1[[#This Row],[Vorlauf]]) + 1, "")</f>
        <v>44720</v>
      </c>
      <c r="AB88" s="37">
        <f>IFERROR(EDATE(Tabelle1[[#This Row],[Vertragsende]], -Tabelle1[[#This Row],[Vorlauf]] - 1) + 1, "")</f>
        <v>44689</v>
      </c>
    </row>
    <row r="89" spans="1:28" x14ac:dyDescent="0.25">
      <c r="A89" s="35">
        <f t="shared" si="2"/>
        <v>86</v>
      </c>
      <c r="B89" s="16" t="s">
        <v>297</v>
      </c>
      <c r="C89" s="16" t="s">
        <v>298</v>
      </c>
      <c r="D89" s="16" t="s">
        <v>65</v>
      </c>
      <c r="E89" s="16" t="s">
        <v>66</v>
      </c>
      <c r="F89" s="16" t="s">
        <v>67</v>
      </c>
      <c r="G89" s="18" t="s">
        <v>306</v>
      </c>
      <c r="H89" s="18"/>
      <c r="I89" s="32">
        <v>44902</v>
      </c>
      <c r="J89" s="32"/>
      <c r="K89" s="32"/>
      <c r="L89" s="16"/>
      <c r="M89" s="16"/>
      <c r="N89" s="18" t="s">
        <v>313</v>
      </c>
      <c r="O89" s="22" t="s">
        <v>68</v>
      </c>
      <c r="P89" s="22" t="s">
        <v>69</v>
      </c>
      <c r="Q89" s="22"/>
      <c r="R89" s="22"/>
      <c r="S89" s="22"/>
      <c r="T89" s="33"/>
      <c r="U89" s="19"/>
      <c r="V89" s="19"/>
      <c r="W89" s="20"/>
      <c r="X89" s="19"/>
      <c r="Y89" s="21"/>
      <c r="Z89" s="36" cm="1">
        <f t="array" ref="Z89">Vorlauf(Tabelle1[[#This Row],[Anbieter]])</f>
        <v>6</v>
      </c>
      <c r="AA89" s="37">
        <f>IFERROR(EDATE(Tabelle1[[#This Row],[Vertragsende]], -Tabelle1[[#This Row],[Vorlauf]]) + 1, "")</f>
        <v>44720</v>
      </c>
      <c r="AB89" s="37">
        <f>IFERROR(EDATE(Tabelle1[[#This Row],[Vertragsende]], -Tabelle1[[#This Row],[Vorlauf]] - 1) + 1, "")</f>
        <v>44689</v>
      </c>
    </row>
    <row r="90" spans="1:28" x14ac:dyDescent="0.25">
      <c r="A90" s="35">
        <f t="shared" si="2"/>
        <v>87</v>
      </c>
      <c r="B90" s="16" t="s">
        <v>299</v>
      </c>
      <c r="C90" s="16" t="s">
        <v>300</v>
      </c>
      <c r="D90" s="16" t="s">
        <v>65</v>
      </c>
      <c r="E90" s="16" t="s">
        <v>66</v>
      </c>
      <c r="F90" s="16" t="s">
        <v>67</v>
      </c>
      <c r="G90" s="18" t="s">
        <v>306</v>
      </c>
      <c r="H90" s="18"/>
      <c r="I90" s="32">
        <v>44902</v>
      </c>
      <c r="J90" s="32"/>
      <c r="K90" s="32"/>
      <c r="L90" s="16"/>
      <c r="M90" s="16"/>
      <c r="N90" s="18" t="s">
        <v>313</v>
      </c>
      <c r="O90" s="22" t="s">
        <v>68</v>
      </c>
      <c r="P90" s="22" t="s">
        <v>69</v>
      </c>
      <c r="Q90" s="22"/>
      <c r="R90" s="22"/>
      <c r="S90" s="22"/>
      <c r="T90" s="33"/>
      <c r="U90" s="19"/>
      <c r="V90" s="19"/>
      <c r="W90" s="20"/>
      <c r="X90" s="19"/>
      <c r="Y90" s="21"/>
      <c r="Z90" s="36" cm="1">
        <f t="array" ref="Z90">Vorlauf(Tabelle1[[#This Row],[Anbieter]])</f>
        <v>6</v>
      </c>
      <c r="AA90" s="37">
        <f>IFERROR(EDATE(Tabelle1[[#This Row],[Vertragsende]], -Tabelle1[[#This Row],[Vorlauf]]) + 1, "")</f>
        <v>44720</v>
      </c>
      <c r="AB90" s="37">
        <f>IFERROR(EDATE(Tabelle1[[#This Row],[Vertragsende]], -Tabelle1[[#This Row],[Vorlauf]] - 1) + 1, "")</f>
        <v>44689</v>
      </c>
    </row>
    <row r="91" spans="1:28" x14ac:dyDescent="0.25">
      <c r="A91" s="35">
        <f t="shared" si="2"/>
        <v>88</v>
      </c>
      <c r="B91" s="16" t="s">
        <v>63</v>
      </c>
      <c r="C91" s="16" t="s">
        <v>64</v>
      </c>
      <c r="D91" s="16" t="s">
        <v>65</v>
      </c>
      <c r="E91" s="16" t="s">
        <v>66</v>
      </c>
      <c r="F91" s="16" t="s">
        <v>67</v>
      </c>
      <c r="G91" s="18" t="s">
        <v>306</v>
      </c>
      <c r="H91" s="18"/>
      <c r="I91" s="32">
        <v>44902</v>
      </c>
      <c r="J91" s="32"/>
      <c r="K91" s="32"/>
      <c r="L91" s="16"/>
      <c r="M91" s="16"/>
      <c r="N91" s="18" t="s">
        <v>313</v>
      </c>
      <c r="O91" s="22" t="s">
        <v>68</v>
      </c>
      <c r="P91" s="22" t="s">
        <v>69</v>
      </c>
      <c r="Q91" s="22"/>
      <c r="R91" s="22"/>
      <c r="S91" s="22"/>
      <c r="T91" s="33"/>
      <c r="U91" s="19"/>
      <c r="V91" s="19"/>
      <c r="W91" s="20"/>
      <c r="X91" s="19"/>
      <c r="Y91" s="21"/>
      <c r="Z91" s="36" cm="1">
        <f t="array" ref="Z91">Vorlauf(Tabelle1[[#This Row],[Anbieter]])</f>
        <v>6</v>
      </c>
      <c r="AA91" s="37">
        <f>IFERROR(EDATE(Tabelle1[[#This Row],[Vertragsende]], -Tabelle1[[#This Row],[Vorlauf]]) + 1, "")</f>
        <v>44720</v>
      </c>
      <c r="AB91" s="37">
        <f>IFERROR(EDATE(Tabelle1[[#This Row],[Vertragsende]], -Tabelle1[[#This Row],[Vorlauf]] - 1) + 1, "")</f>
        <v>44689</v>
      </c>
    </row>
    <row r="92" spans="1:28" x14ac:dyDescent="0.25">
      <c r="A92" s="35">
        <f t="shared" si="2"/>
        <v>89</v>
      </c>
      <c r="B92" s="16" t="s">
        <v>70</v>
      </c>
      <c r="C92" s="16" t="s">
        <v>71</v>
      </c>
      <c r="D92" s="16" t="s">
        <v>65</v>
      </c>
      <c r="E92" s="16" t="s">
        <v>66</v>
      </c>
      <c r="F92" s="16" t="s">
        <v>67</v>
      </c>
      <c r="G92" s="18" t="s">
        <v>306</v>
      </c>
      <c r="H92" s="18"/>
      <c r="I92" s="32">
        <v>44902</v>
      </c>
      <c r="J92" s="32"/>
      <c r="K92" s="32"/>
      <c r="L92" s="16"/>
      <c r="M92" s="16"/>
      <c r="N92" s="18" t="s">
        <v>313</v>
      </c>
      <c r="O92" s="22" t="s">
        <v>68</v>
      </c>
      <c r="P92" s="22" t="s">
        <v>69</v>
      </c>
      <c r="Q92" s="22"/>
      <c r="R92" s="22"/>
      <c r="S92" s="22"/>
      <c r="T92" s="33"/>
      <c r="U92" s="19"/>
      <c r="V92" s="19"/>
      <c r="W92" s="20"/>
      <c r="X92" s="19"/>
      <c r="Y92" s="21"/>
      <c r="Z92" s="36" cm="1">
        <f t="array" ref="Z92">Vorlauf(Tabelle1[[#This Row],[Anbieter]])</f>
        <v>6</v>
      </c>
      <c r="AA92" s="37">
        <f>IFERROR(EDATE(Tabelle1[[#This Row],[Vertragsende]], -Tabelle1[[#This Row],[Vorlauf]]) + 1, "")</f>
        <v>44720</v>
      </c>
      <c r="AB92" s="37">
        <f>IFERROR(EDATE(Tabelle1[[#This Row],[Vertragsende]], -Tabelle1[[#This Row],[Vorlauf]] - 1) + 1, "")</f>
        <v>44689</v>
      </c>
    </row>
    <row r="93" spans="1:28" x14ac:dyDescent="0.25">
      <c r="A93" s="35">
        <f t="shared" si="2"/>
        <v>90</v>
      </c>
      <c r="B93" s="16" t="s">
        <v>72</v>
      </c>
      <c r="C93" s="16" t="s">
        <v>73</v>
      </c>
      <c r="D93" s="16" t="s">
        <v>65</v>
      </c>
      <c r="E93" s="16" t="s">
        <v>66</v>
      </c>
      <c r="F93" s="16" t="s">
        <v>67</v>
      </c>
      <c r="G93" s="18" t="s">
        <v>306</v>
      </c>
      <c r="H93" s="18"/>
      <c r="I93" s="32">
        <v>44902</v>
      </c>
      <c r="J93" s="32"/>
      <c r="K93" s="32"/>
      <c r="L93" s="16"/>
      <c r="M93" s="16"/>
      <c r="N93" s="18" t="s">
        <v>313</v>
      </c>
      <c r="O93" s="22" t="s">
        <v>68</v>
      </c>
      <c r="P93" s="22" t="s">
        <v>69</v>
      </c>
      <c r="Q93" s="22"/>
      <c r="R93" s="22"/>
      <c r="S93" s="22"/>
      <c r="T93" s="33"/>
      <c r="U93" s="19"/>
      <c r="V93" s="19"/>
      <c r="W93" s="20"/>
      <c r="X93" s="19"/>
      <c r="Y93" s="21"/>
      <c r="Z93" s="36" cm="1">
        <f t="array" ref="Z93">Vorlauf(Tabelle1[[#This Row],[Anbieter]])</f>
        <v>6</v>
      </c>
      <c r="AA93" s="37">
        <f>IFERROR(EDATE(Tabelle1[[#This Row],[Vertragsende]], -Tabelle1[[#This Row],[Vorlauf]]) + 1, "")</f>
        <v>44720</v>
      </c>
      <c r="AB93" s="37">
        <f>IFERROR(EDATE(Tabelle1[[#This Row],[Vertragsende]], -Tabelle1[[#This Row],[Vorlauf]] - 1) + 1, "")</f>
        <v>44689</v>
      </c>
    </row>
    <row r="94" spans="1:28" x14ac:dyDescent="0.25">
      <c r="A94" s="35">
        <f t="shared" si="2"/>
        <v>91</v>
      </c>
      <c r="B94" s="16" t="s">
        <v>74</v>
      </c>
      <c r="C94" s="16" t="s">
        <v>75</v>
      </c>
      <c r="D94" s="16" t="s">
        <v>65</v>
      </c>
      <c r="E94" s="16" t="s">
        <v>66</v>
      </c>
      <c r="F94" s="16" t="s">
        <v>67</v>
      </c>
      <c r="G94" s="18" t="s">
        <v>306</v>
      </c>
      <c r="H94" s="18"/>
      <c r="I94" s="32">
        <v>44902</v>
      </c>
      <c r="J94" s="32"/>
      <c r="K94" s="32"/>
      <c r="L94" s="16"/>
      <c r="M94" s="16"/>
      <c r="N94" s="18" t="s">
        <v>313</v>
      </c>
      <c r="O94" s="22" t="s">
        <v>68</v>
      </c>
      <c r="P94" s="22" t="s">
        <v>69</v>
      </c>
      <c r="Q94" s="22"/>
      <c r="R94" s="22"/>
      <c r="S94" s="22"/>
      <c r="T94" s="33"/>
      <c r="U94" s="19"/>
      <c r="V94" s="19"/>
      <c r="W94" s="20"/>
      <c r="X94" s="19"/>
      <c r="Y94" s="21"/>
      <c r="Z94" s="36" cm="1">
        <f t="array" ref="Z94">Vorlauf(Tabelle1[[#This Row],[Anbieter]])</f>
        <v>6</v>
      </c>
      <c r="AA94" s="37">
        <f>IFERROR(EDATE(Tabelle1[[#This Row],[Vertragsende]], -Tabelle1[[#This Row],[Vorlauf]]) + 1, "")</f>
        <v>44720</v>
      </c>
      <c r="AB94" s="37">
        <f>IFERROR(EDATE(Tabelle1[[#This Row],[Vertragsende]], -Tabelle1[[#This Row],[Vorlauf]] - 1) + 1, "")</f>
        <v>44689</v>
      </c>
    </row>
    <row r="95" spans="1:28" x14ac:dyDescent="0.25">
      <c r="A95" s="35">
        <f t="shared" si="2"/>
        <v>92</v>
      </c>
      <c r="B95" s="16" t="s">
        <v>76</v>
      </c>
      <c r="C95" s="16" t="s">
        <v>77</v>
      </c>
      <c r="D95" s="16" t="s">
        <v>65</v>
      </c>
      <c r="E95" s="16" t="s">
        <v>66</v>
      </c>
      <c r="F95" s="16" t="s">
        <v>67</v>
      </c>
      <c r="G95" s="18"/>
      <c r="H95" s="18"/>
      <c r="I95" s="32"/>
      <c r="J95" s="32"/>
      <c r="K95" s="32"/>
      <c r="L95" s="16"/>
      <c r="M95" s="16"/>
      <c r="N95" s="18" t="s">
        <v>313</v>
      </c>
      <c r="O95" s="22" t="s">
        <v>68</v>
      </c>
      <c r="P95" s="22" t="s">
        <v>78</v>
      </c>
      <c r="Q95" s="22"/>
      <c r="R95" s="22"/>
      <c r="S95" s="22"/>
      <c r="T95" s="33">
        <v>44664</v>
      </c>
      <c r="U95" s="19" t="s">
        <v>78</v>
      </c>
      <c r="V95" s="19" t="s">
        <v>79</v>
      </c>
      <c r="W95" s="20"/>
      <c r="X95" s="19"/>
      <c r="Y95" s="21">
        <v>180</v>
      </c>
      <c r="Z95" s="36" cm="1">
        <f t="array" ref="Z95">Vorlauf(Tabelle1[[#This Row],[Anbieter]])</f>
        <v>6</v>
      </c>
      <c r="AA95" s="37" t="str">
        <f>IFERROR(EDATE(Tabelle1[[#This Row],[Vertragsende]], -Tabelle1[[#This Row],[Vorlauf]]) + 1, "")</f>
        <v/>
      </c>
      <c r="AB95" s="37" t="str">
        <f>IFERROR(EDATE(Tabelle1[[#This Row],[Vertragsende]], -Tabelle1[[#This Row],[Vorlauf]] - 1) + 1, "")</f>
        <v/>
      </c>
    </row>
    <row r="96" spans="1:28" x14ac:dyDescent="0.25">
      <c r="A96" s="35">
        <f t="shared" si="2"/>
        <v>93</v>
      </c>
      <c r="B96" s="16" t="s">
        <v>80</v>
      </c>
      <c r="C96" s="16" t="s">
        <v>81</v>
      </c>
      <c r="D96" s="16" t="s">
        <v>65</v>
      </c>
      <c r="E96" s="16" t="s">
        <v>66</v>
      </c>
      <c r="F96" s="16" t="s">
        <v>67</v>
      </c>
      <c r="G96" s="18"/>
      <c r="H96" s="18" t="s">
        <v>306</v>
      </c>
      <c r="I96" s="32"/>
      <c r="J96" s="32"/>
      <c r="K96" s="32"/>
      <c r="L96" s="16"/>
      <c r="M96" s="16"/>
      <c r="N96" s="18" t="s">
        <v>313</v>
      </c>
      <c r="O96" s="22" t="s">
        <v>68</v>
      </c>
      <c r="P96" s="22" t="s">
        <v>78</v>
      </c>
      <c r="Q96" s="22"/>
      <c r="R96" s="22"/>
      <c r="S96" s="22"/>
      <c r="T96" s="33">
        <v>44700</v>
      </c>
      <c r="U96" s="19" t="s">
        <v>78</v>
      </c>
      <c r="V96" s="19" t="s">
        <v>83</v>
      </c>
      <c r="W96" s="20"/>
      <c r="X96" s="19"/>
      <c r="Y96" s="21">
        <v>415</v>
      </c>
      <c r="Z96" s="36" cm="1">
        <f t="array" ref="Z96">Vorlauf(Tabelle1[[#This Row],[Anbieter]])</f>
        <v>6</v>
      </c>
      <c r="AA96" s="37" t="str">
        <f>IFERROR(EDATE(Tabelle1[[#This Row],[Vertragsende]], -Tabelle1[[#This Row],[Vorlauf]]) + 1, "")</f>
        <v/>
      </c>
      <c r="AB96" s="37" t="str">
        <f>IFERROR(EDATE(Tabelle1[[#This Row],[Vertragsende]], -Tabelle1[[#This Row],[Vorlauf]] - 1) + 1, "")</f>
        <v/>
      </c>
    </row>
    <row r="97" spans="1:28" x14ac:dyDescent="0.25">
      <c r="A97" s="35">
        <f t="shared" si="2"/>
        <v>94</v>
      </c>
      <c r="B97" s="16" t="s">
        <v>84</v>
      </c>
      <c r="C97" s="16" t="s">
        <v>85</v>
      </c>
      <c r="D97" s="16" t="s">
        <v>65</v>
      </c>
      <c r="E97" s="16" t="s">
        <v>66</v>
      </c>
      <c r="F97" s="16" t="s">
        <v>67</v>
      </c>
      <c r="G97" s="18"/>
      <c r="H97" s="18" t="s">
        <v>306</v>
      </c>
      <c r="I97" s="32"/>
      <c r="J97" s="32"/>
      <c r="K97" s="32"/>
      <c r="L97" s="16"/>
      <c r="M97" s="16"/>
      <c r="N97" s="18" t="s">
        <v>313</v>
      </c>
      <c r="O97" s="22" t="s">
        <v>68</v>
      </c>
      <c r="P97" s="22" t="s">
        <v>78</v>
      </c>
      <c r="Q97" s="22"/>
      <c r="R97" s="22"/>
      <c r="S97" s="22"/>
      <c r="T97" s="33">
        <v>44700</v>
      </c>
      <c r="U97" s="19" t="s">
        <v>78</v>
      </c>
      <c r="V97" s="19" t="s">
        <v>83</v>
      </c>
      <c r="W97" s="20"/>
      <c r="X97" s="19"/>
      <c r="Y97" s="21">
        <v>415</v>
      </c>
      <c r="Z97" s="36" cm="1">
        <f t="array" ref="Z97">Vorlauf(Tabelle1[[#This Row],[Anbieter]])</f>
        <v>6</v>
      </c>
      <c r="AA97" s="37" t="str">
        <f>IFERROR(EDATE(Tabelle1[[#This Row],[Vertragsende]], -Tabelle1[[#This Row],[Vorlauf]]) + 1, "")</f>
        <v/>
      </c>
      <c r="AB97" s="37" t="str">
        <f>IFERROR(EDATE(Tabelle1[[#This Row],[Vertragsende]], -Tabelle1[[#This Row],[Vorlauf]] - 1) + 1, "")</f>
        <v/>
      </c>
    </row>
    <row r="98" spans="1:28" x14ac:dyDescent="0.25">
      <c r="A98" s="35">
        <f t="shared" si="2"/>
        <v>95</v>
      </c>
      <c r="B98" s="16" t="s">
        <v>86</v>
      </c>
      <c r="C98" s="16" t="s">
        <v>87</v>
      </c>
      <c r="D98" s="16" t="s">
        <v>65</v>
      </c>
      <c r="E98" s="16" t="s">
        <v>66</v>
      </c>
      <c r="F98" s="16" t="s">
        <v>67</v>
      </c>
      <c r="G98" s="18"/>
      <c r="H98" s="18" t="s">
        <v>306</v>
      </c>
      <c r="I98" s="32"/>
      <c r="J98" s="32"/>
      <c r="K98" s="32"/>
      <c r="L98" s="16"/>
      <c r="M98" s="16"/>
      <c r="N98" s="18" t="s">
        <v>313</v>
      </c>
      <c r="O98" s="22" t="s">
        <v>68</v>
      </c>
      <c r="P98" s="22" t="s">
        <v>78</v>
      </c>
      <c r="Q98" s="22"/>
      <c r="R98" s="22"/>
      <c r="S98" s="22"/>
      <c r="T98" s="33">
        <v>44725</v>
      </c>
      <c r="U98" s="19" t="s">
        <v>78</v>
      </c>
      <c r="V98" s="19" t="s">
        <v>88</v>
      </c>
      <c r="W98" s="20"/>
      <c r="X98" s="19"/>
      <c r="Y98" s="21">
        <v>180</v>
      </c>
      <c r="Z98" s="36" cm="1">
        <f t="array" ref="Z98">Vorlauf(Tabelle1[[#This Row],[Anbieter]])</f>
        <v>6</v>
      </c>
      <c r="AA98" s="37" t="str">
        <f>IFERROR(EDATE(Tabelle1[[#This Row],[Vertragsende]], -Tabelle1[[#This Row],[Vorlauf]]) + 1, "")</f>
        <v/>
      </c>
      <c r="AB98" s="37" t="str">
        <f>IFERROR(EDATE(Tabelle1[[#This Row],[Vertragsende]], -Tabelle1[[#This Row],[Vorlauf]] - 1) + 1, "")</f>
        <v/>
      </c>
    </row>
    <row r="99" spans="1:28" x14ac:dyDescent="0.25">
      <c r="A99" s="35">
        <f t="shared" si="2"/>
        <v>96</v>
      </c>
      <c r="B99" s="16" t="s">
        <v>89</v>
      </c>
      <c r="C99" s="16" t="s">
        <v>90</v>
      </c>
      <c r="D99" s="16" t="s">
        <v>65</v>
      </c>
      <c r="E99" s="16" t="s">
        <v>66</v>
      </c>
      <c r="F99" s="16" t="s">
        <v>67</v>
      </c>
      <c r="G99" s="18"/>
      <c r="H99" s="18" t="s">
        <v>306</v>
      </c>
      <c r="I99" s="32"/>
      <c r="J99" s="32"/>
      <c r="K99" s="32"/>
      <c r="L99" s="16"/>
      <c r="M99" s="16"/>
      <c r="N99" s="18" t="s">
        <v>313</v>
      </c>
      <c r="O99" s="22" t="s">
        <v>68</v>
      </c>
      <c r="P99" s="22" t="s">
        <v>78</v>
      </c>
      <c r="Q99" s="22"/>
      <c r="R99" s="22"/>
      <c r="S99" s="22"/>
      <c r="T99" s="33">
        <v>44725</v>
      </c>
      <c r="U99" s="19" t="s">
        <v>78</v>
      </c>
      <c r="V99" s="19" t="s">
        <v>88</v>
      </c>
      <c r="W99" s="20"/>
      <c r="X99" s="19"/>
      <c r="Y99" s="21">
        <v>180</v>
      </c>
      <c r="Z99" s="36" cm="1">
        <f t="array" ref="Z99">Vorlauf(Tabelle1[[#This Row],[Anbieter]])</f>
        <v>6</v>
      </c>
      <c r="AA99" s="37" t="str">
        <f>IFERROR(EDATE(Tabelle1[[#This Row],[Vertragsende]], -Tabelle1[[#This Row],[Vorlauf]]) + 1, "")</f>
        <v/>
      </c>
      <c r="AB99" s="37" t="str">
        <f>IFERROR(EDATE(Tabelle1[[#This Row],[Vertragsende]], -Tabelle1[[#This Row],[Vorlauf]] - 1) + 1, "")</f>
        <v/>
      </c>
    </row>
    <row r="100" spans="1:28" x14ac:dyDescent="0.25">
      <c r="A100" s="35">
        <f t="shared" ref="A100:A110" si="3">ROW()-3</f>
        <v>97</v>
      </c>
      <c r="B100" s="16" t="s">
        <v>91</v>
      </c>
      <c r="C100" s="16" t="s">
        <v>92</v>
      </c>
      <c r="D100" s="16" t="s">
        <v>65</v>
      </c>
      <c r="E100" s="16" t="s">
        <v>66</v>
      </c>
      <c r="F100" s="16" t="s">
        <v>67</v>
      </c>
      <c r="G100" s="18"/>
      <c r="H100" s="18" t="s">
        <v>306</v>
      </c>
      <c r="I100" s="32"/>
      <c r="J100" s="32"/>
      <c r="K100" s="32"/>
      <c r="L100" s="16"/>
      <c r="M100" s="16"/>
      <c r="N100" s="18" t="s">
        <v>313</v>
      </c>
      <c r="O100" s="22" t="s">
        <v>68</v>
      </c>
      <c r="P100" s="22" t="s">
        <v>78</v>
      </c>
      <c r="Q100" s="22"/>
      <c r="R100" s="22"/>
      <c r="S100" s="22"/>
      <c r="T100" s="33">
        <v>44725</v>
      </c>
      <c r="U100" s="19" t="s">
        <v>78</v>
      </c>
      <c r="V100" s="19" t="s">
        <v>88</v>
      </c>
      <c r="W100" s="20"/>
      <c r="X100" s="19"/>
      <c r="Y100" s="21">
        <v>180</v>
      </c>
      <c r="Z100" s="36" cm="1">
        <f t="array" ref="Z100">Vorlauf(Tabelle1[[#This Row],[Anbieter]])</f>
        <v>6</v>
      </c>
      <c r="AA100" s="37" t="str">
        <f>IFERROR(EDATE(Tabelle1[[#This Row],[Vertragsende]], -Tabelle1[[#This Row],[Vorlauf]]) + 1, "")</f>
        <v/>
      </c>
      <c r="AB100" s="37" t="str">
        <f>IFERROR(EDATE(Tabelle1[[#This Row],[Vertragsende]], -Tabelle1[[#This Row],[Vorlauf]] - 1) + 1, "")</f>
        <v/>
      </c>
    </row>
    <row r="101" spans="1:28" x14ac:dyDescent="0.25">
      <c r="A101" s="35">
        <f t="shared" si="3"/>
        <v>98</v>
      </c>
      <c r="B101" s="16" t="s">
        <v>93</v>
      </c>
      <c r="C101" s="16" t="s">
        <v>94</v>
      </c>
      <c r="D101" s="16" t="s">
        <v>65</v>
      </c>
      <c r="E101" s="16" t="s">
        <v>66</v>
      </c>
      <c r="F101" s="16" t="s">
        <v>67</v>
      </c>
      <c r="G101" s="18"/>
      <c r="H101" s="18" t="s">
        <v>306</v>
      </c>
      <c r="I101" s="32"/>
      <c r="J101" s="32"/>
      <c r="K101" s="32"/>
      <c r="L101" s="16"/>
      <c r="M101" s="16"/>
      <c r="N101" s="18" t="s">
        <v>313</v>
      </c>
      <c r="O101" s="22" t="s">
        <v>68</v>
      </c>
      <c r="P101" s="22" t="s">
        <v>78</v>
      </c>
      <c r="Q101" s="22"/>
      <c r="R101" s="22"/>
      <c r="S101" s="22"/>
      <c r="T101" s="33">
        <v>44725</v>
      </c>
      <c r="U101" s="19" t="s">
        <v>78</v>
      </c>
      <c r="V101" s="19" t="s">
        <v>88</v>
      </c>
      <c r="W101" s="20"/>
      <c r="X101" s="19"/>
      <c r="Y101" s="21">
        <v>180</v>
      </c>
      <c r="Z101" s="36" cm="1">
        <f t="array" ref="Z101">Vorlauf(Tabelle1[[#This Row],[Anbieter]])</f>
        <v>6</v>
      </c>
      <c r="AA101" s="37" t="str">
        <f>IFERROR(EDATE(Tabelle1[[#This Row],[Vertragsende]], -Tabelle1[[#This Row],[Vorlauf]]) + 1, "")</f>
        <v/>
      </c>
      <c r="AB101" s="37" t="str">
        <f>IFERROR(EDATE(Tabelle1[[#This Row],[Vertragsende]], -Tabelle1[[#This Row],[Vorlauf]] - 1) + 1, "")</f>
        <v/>
      </c>
    </row>
    <row r="102" spans="1:28" x14ac:dyDescent="0.25">
      <c r="A102" s="35">
        <f t="shared" si="3"/>
        <v>99</v>
      </c>
      <c r="B102" s="16" t="s">
        <v>95</v>
      </c>
      <c r="C102" s="16" t="s">
        <v>96</v>
      </c>
      <c r="D102" s="16" t="s">
        <v>65</v>
      </c>
      <c r="E102" s="16" t="s">
        <v>66</v>
      </c>
      <c r="F102" s="16" t="s">
        <v>67</v>
      </c>
      <c r="G102" s="18"/>
      <c r="H102" s="18" t="s">
        <v>306</v>
      </c>
      <c r="I102" s="32"/>
      <c r="J102" s="32"/>
      <c r="K102" s="32"/>
      <c r="L102" s="16"/>
      <c r="M102" s="16"/>
      <c r="N102" s="18" t="s">
        <v>313</v>
      </c>
      <c r="O102" s="22" t="s">
        <v>68</v>
      </c>
      <c r="P102" s="22" t="s">
        <v>78</v>
      </c>
      <c r="Q102" s="22"/>
      <c r="R102" s="22"/>
      <c r="S102" s="22"/>
      <c r="T102" s="33">
        <v>44725</v>
      </c>
      <c r="U102" s="19" t="s">
        <v>78</v>
      </c>
      <c r="V102" s="19" t="s">
        <v>88</v>
      </c>
      <c r="W102" s="20"/>
      <c r="X102" s="19"/>
      <c r="Y102" s="21">
        <v>180</v>
      </c>
      <c r="Z102" s="36" cm="1">
        <f t="array" ref="Z102">Vorlauf(Tabelle1[[#This Row],[Anbieter]])</f>
        <v>6</v>
      </c>
      <c r="AA102" s="37" t="str">
        <f>IFERROR(EDATE(Tabelle1[[#This Row],[Vertragsende]], -Tabelle1[[#This Row],[Vorlauf]]) + 1, "")</f>
        <v/>
      </c>
      <c r="AB102" s="37" t="str">
        <f>IFERROR(EDATE(Tabelle1[[#This Row],[Vertragsende]], -Tabelle1[[#This Row],[Vorlauf]] - 1) + 1, "")</f>
        <v/>
      </c>
    </row>
    <row r="103" spans="1:28" x14ac:dyDescent="0.25">
      <c r="A103" s="35">
        <f t="shared" si="3"/>
        <v>100</v>
      </c>
      <c r="B103" s="16" t="s">
        <v>97</v>
      </c>
      <c r="C103" s="16" t="s">
        <v>98</v>
      </c>
      <c r="D103" s="16" t="s">
        <v>65</v>
      </c>
      <c r="E103" s="16" t="s">
        <v>66</v>
      </c>
      <c r="F103" s="16" t="s">
        <v>67</v>
      </c>
      <c r="G103" s="18"/>
      <c r="H103" s="18" t="s">
        <v>306</v>
      </c>
      <c r="I103" s="32"/>
      <c r="J103" s="32"/>
      <c r="K103" s="32"/>
      <c r="L103" s="16"/>
      <c r="M103" s="16"/>
      <c r="N103" s="18" t="s">
        <v>313</v>
      </c>
      <c r="O103" s="22" t="s">
        <v>68</v>
      </c>
      <c r="P103" s="22" t="s">
        <v>78</v>
      </c>
      <c r="Q103" s="22"/>
      <c r="R103" s="22"/>
      <c r="S103" s="22"/>
      <c r="T103" s="33">
        <v>44725</v>
      </c>
      <c r="U103" s="19" t="s">
        <v>78</v>
      </c>
      <c r="V103" s="19" t="s">
        <v>88</v>
      </c>
      <c r="W103" s="20"/>
      <c r="X103" s="19"/>
      <c r="Y103" s="21">
        <v>180</v>
      </c>
      <c r="Z103" s="36" cm="1">
        <f t="array" ref="Z103">Vorlauf(Tabelle1[[#This Row],[Anbieter]])</f>
        <v>6</v>
      </c>
      <c r="AA103" s="37" t="str">
        <f>IFERROR(EDATE(Tabelle1[[#This Row],[Vertragsende]], -Tabelle1[[#This Row],[Vorlauf]]) + 1, "")</f>
        <v/>
      </c>
      <c r="AB103" s="37" t="str">
        <f>IFERROR(EDATE(Tabelle1[[#This Row],[Vertragsende]], -Tabelle1[[#This Row],[Vorlauf]] - 1) + 1, "")</f>
        <v/>
      </c>
    </row>
    <row r="104" spans="1:28" x14ac:dyDescent="0.25">
      <c r="A104" s="35">
        <f t="shared" si="3"/>
        <v>101</v>
      </c>
      <c r="B104" s="16" t="s">
        <v>99</v>
      </c>
      <c r="C104" s="16" t="s">
        <v>100</v>
      </c>
      <c r="D104" s="16" t="s">
        <v>65</v>
      </c>
      <c r="E104" s="16" t="s">
        <v>66</v>
      </c>
      <c r="F104" s="16" t="s">
        <v>67</v>
      </c>
      <c r="G104" s="18"/>
      <c r="H104" s="18"/>
      <c r="I104" s="32"/>
      <c r="J104" s="32"/>
      <c r="K104" s="32"/>
      <c r="L104" s="16"/>
      <c r="M104" s="16"/>
      <c r="N104" s="18" t="s">
        <v>313</v>
      </c>
      <c r="O104" s="22" t="s">
        <v>68</v>
      </c>
      <c r="P104" s="22" t="s">
        <v>78</v>
      </c>
      <c r="Q104" s="22"/>
      <c r="R104" s="22"/>
      <c r="S104" s="22"/>
      <c r="T104" s="33">
        <v>44747</v>
      </c>
      <c r="U104" s="19" t="s">
        <v>78</v>
      </c>
      <c r="V104" s="19" t="s">
        <v>101</v>
      </c>
      <c r="W104" s="20"/>
      <c r="X104" s="19"/>
      <c r="Y104" s="21">
        <v>180</v>
      </c>
      <c r="Z104" s="36" cm="1">
        <f t="array" ref="Z104">Vorlauf(Tabelle1[[#This Row],[Anbieter]])</f>
        <v>6</v>
      </c>
      <c r="AA104" s="37" t="str">
        <f>IFERROR(EDATE(Tabelle1[[#This Row],[Vertragsende]], -Tabelle1[[#This Row],[Vorlauf]]) + 1, "")</f>
        <v/>
      </c>
      <c r="AB104" s="37" t="str">
        <f>IFERROR(EDATE(Tabelle1[[#This Row],[Vertragsende]], -Tabelle1[[#This Row],[Vorlauf]] - 1) + 1, "")</f>
        <v/>
      </c>
    </row>
    <row r="105" spans="1:28" x14ac:dyDescent="0.25">
      <c r="A105" s="35">
        <f t="shared" si="3"/>
        <v>102</v>
      </c>
      <c r="B105" s="16" t="s">
        <v>102</v>
      </c>
      <c r="C105" s="16" t="s">
        <v>103</v>
      </c>
      <c r="D105" s="16" t="s">
        <v>65</v>
      </c>
      <c r="E105" s="16" t="s">
        <v>66</v>
      </c>
      <c r="F105" s="16" t="s">
        <v>67</v>
      </c>
      <c r="G105" s="18"/>
      <c r="H105" s="18" t="s">
        <v>306</v>
      </c>
      <c r="I105" s="32"/>
      <c r="J105" s="32"/>
      <c r="K105" s="32"/>
      <c r="L105" s="16"/>
      <c r="M105" s="16"/>
      <c r="N105" s="18" t="s">
        <v>313</v>
      </c>
      <c r="O105" s="22" t="s">
        <v>68</v>
      </c>
      <c r="P105" s="22" t="s">
        <v>78</v>
      </c>
      <c r="Q105" s="22"/>
      <c r="R105" s="22"/>
      <c r="S105" s="22"/>
      <c r="T105" s="33">
        <v>44755</v>
      </c>
      <c r="U105" s="19" t="s">
        <v>78</v>
      </c>
      <c r="V105" s="19" t="s">
        <v>104</v>
      </c>
      <c r="W105" s="20"/>
      <c r="X105" s="19"/>
      <c r="Y105" s="21">
        <v>395</v>
      </c>
      <c r="Z105" s="36" cm="1">
        <f t="array" ref="Z105">Vorlauf(Tabelle1[[#This Row],[Anbieter]])</f>
        <v>6</v>
      </c>
      <c r="AA105" s="37" t="str">
        <f>IFERROR(EDATE(Tabelle1[[#This Row],[Vertragsende]], -Tabelle1[[#This Row],[Vorlauf]]) + 1, "")</f>
        <v/>
      </c>
      <c r="AB105" s="37" t="str">
        <f>IFERROR(EDATE(Tabelle1[[#This Row],[Vertragsende]], -Tabelle1[[#This Row],[Vorlauf]] - 1) + 1, "")</f>
        <v/>
      </c>
    </row>
    <row r="106" spans="1:28" x14ac:dyDescent="0.25">
      <c r="A106" s="35">
        <f t="shared" si="3"/>
        <v>103</v>
      </c>
      <c r="B106" s="16" t="s">
        <v>105</v>
      </c>
      <c r="C106" s="16" t="s">
        <v>106</v>
      </c>
      <c r="D106" s="16" t="s">
        <v>65</v>
      </c>
      <c r="E106" s="16" t="s">
        <v>66</v>
      </c>
      <c r="F106" s="16" t="s">
        <v>67</v>
      </c>
      <c r="G106" s="18"/>
      <c r="H106" s="18"/>
      <c r="I106" s="32"/>
      <c r="J106" s="32"/>
      <c r="K106" s="32"/>
      <c r="L106" s="16"/>
      <c r="M106" s="16"/>
      <c r="N106" s="18" t="s">
        <v>313</v>
      </c>
      <c r="O106" s="22" t="s">
        <v>68</v>
      </c>
      <c r="P106" s="22" t="s">
        <v>78</v>
      </c>
      <c r="Q106" s="22"/>
      <c r="R106" s="22"/>
      <c r="S106" s="22"/>
      <c r="T106" s="33">
        <v>44915</v>
      </c>
      <c r="U106" s="19" t="s">
        <v>78</v>
      </c>
      <c r="V106" s="19" t="s">
        <v>107</v>
      </c>
      <c r="W106" s="20"/>
      <c r="X106" s="19"/>
      <c r="Y106" s="21">
        <v>180</v>
      </c>
      <c r="Z106" s="36" cm="1">
        <f t="array" ref="Z106">Vorlauf(Tabelle1[[#This Row],[Anbieter]])</f>
        <v>6</v>
      </c>
      <c r="AA106" s="37" t="str">
        <f>IFERROR(EDATE(Tabelle1[[#This Row],[Vertragsende]], -Tabelle1[[#This Row],[Vorlauf]]) + 1, "")</f>
        <v/>
      </c>
      <c r="AB106" s="37" t="str">
        <f>IFERROR(EDATE(Tabelle1[[#This Row],[Vertragsende]], -Tabelle1[[#This Row],[Vorlauf]] - 1) + 1, "")</f>
        <v/>
      </c>
    </row>
    <row r="107" spans="1:28" x14ac:dyDescent="0.25">
      <c r="A107" s="35">
        <f t="shared" si="3"/>
        <v>104</v>
      </c>
      <c r="B107" s="16" t="s">
        <v>108</v>
      </c>
      <c r="C107" s="16" t="s">
        <v>109</v>
      </c>
      <c r="D107" s="16" t="s">
        <v>65</v>
      </c>
      <c r="E107" s="16" t="s">
        <v>66</v>
      </c>
      <c r="F107" s="16" t="s">
        <v>67</v>
      </c>
      <c r="G107" s="18"/>
      <c r="H107" s="18"/>
      <c r="I107" s="32"/>
      <c r="J107" s="32"/>
      <c r="K107" s="32"/>
      <c r="L107" s="16"/>
      <c r="M107" s="16"/>
      <c r="N107" s="18" t="s">
        <v>313</v>
      </c>
      <c r="O107" s="22" t="s">
        <v>68</v>
      </c>
      <c r="P107" s="22" t="s">
        <v>78</v>
      </c>
      <c r="Q107" s="22"/>
      <c r="R107" s="22"/>
      <c r="S107" s="22"/>
      <c r="T107" s="33">
        <v>44935</v>
      </c>
      <c r="U107" s="19" t="s">
        <v>78</v>
      </c>
      <c r="V107" s="19" t="s">
        <v>110</v>
      </c>
      <c r="W107" s="20"/>
      <c r="X107" s="19"/>
      <c r="Y107" s="21">
        <v>365</v>
      </c>
      <c r="Z107" s="36" cm="1">
        <f t="array" ref="Z107">Vorlauf(Tabelle1[[#This Row],[Anbieter]])</f>
        <v>6</v>
      </c>
      <c r="AA107" s="37" t="str">
        <f>IFERROR(EDATE(Tabelle1[[#This Row],[Vertragsende]], -Tabelle1[[#This Row],[Vorlauf]]) + 1, "")</f>
        <v/>
      </c>
      <c r="AB107" s="37" t="str">
        <f>IFERROR(EDATE(Tabelle1[[#This Row],[Vertragsende]], -Tabelle1[[#This Row],[Vorlauf]] - 1) + 1, "")</f>
        <v/>
      </c>
    </row>
    <row r="108" spans="1:28" x14ac:dyDescent="0.25">
      <c r="A108" s="35">
        <f t="shared" si="3"/>
        <v>105</v>
      </c>
      <c r="B108" s="16" t="s">
        <v>111</v>
      </c>
      <c r="C108" s="16" t="s">
        <v>112</v>
      </c>
      <c r="D108" s="16" t="s">
        <v>65</v>
      </c>
      <c r="E108" s="16" t="s">
        <v>66</v>
      </c>
      <c r="F108" s="16" t="s">
        <v>67</v>
      </c>
      <c r="G108" s="18"/>
      <c r="H108" s="18"/>
      <c r="I108" s="32"/>
      <c r="J108" s="32"/>
      <c r="K108" s="32"/>
      <c r="L108" s="16"/>
      <c r="M108" s="16"/>
      <c r="N108" s="18" t="s">
        <v>313</v>
      </c>
      <c r="O108" s="22" t="s">
        <v>68</v>
      </c>
      <c r="P108" s="22" t="s">
        <v>78</v>
      </c>
      <c r="Q108" s="22"/>
      <c r="R108" s="22"/>
      <c r="S108" s="22"/>
      <c r="T108" s="33">
        <v>44945</v>
      </c>
      <c r="U108" s="19" t="s">
        <v>78</v>
      </c>
      <c r="V108" s="19" t="s">
        <v>113</v>
      </c>
      <c r="W108" s="20"/>
      <c r="X108" s="19"/>
      <c r="Y108" s="21">
        <v>180</v>
      </c>
      <c r="Z108" s="36" cm="1">
        <f t="array" ref="Z108">Vorlauf(Tabelle1[[#This Row],[Anbieter]])</f>
        <v>6</v>
      </c>
      <c r="AA108" s="37" t="str">
        <f>IFERROR(EDATE(Tabelle1[[#This Row],[Vertragsende]], -Tabelle1[[#This Row],[Vorlauf]]) + 1, "")</f>
        <v/>
      </c>
      <c r="AB108" s="37" t="str">
        <f>IFERROR(EDATE(Tabelle1[[#This Row],[Vertragsende]], -Tabelle1[[#This Row],[Vorlauf]] - 1) + 1, "")</f>
        <v/>
      </c>
    </row>
    <row r="109" spans="1:28" x14ac:dyDescent="0.25">
      <c r="A109" s="35">
        <f t="shared" si="3"/>
        <v>106</v>
      </c>
      <c r="B109" s="16" t="s">
        <v>114</v>
      </c>
      <c r="C109" s="16" t="s">
        <v>115</v>
      </c>
      <c r="D109" s="16" t="s">
        <v>65</v>
      </c>
      <c r="E109" s="16" t="s">
        <v>66</v>
      </c>
      <c r="F109" s="16" t="s">
        <v>67</v>
      </c>
      <c r="G109" s="18"/>
      <c r="H109" s="18"/>
      <c r="I109" s="32"/>
      <c r="J109" s="32"/>
      <c r="K109" s="32"/>
      <c r="L109" s="16"/>
      <c r="M109" s="16"/>
      <c r="N109" s="18" t="s">
        <v>313</v>
      </c>
      <c r="O109" s="22" t="s">
        <v>68</v>
      </c>
      <c r="P109" s="22" t="s">
        <v>78</v>
      </c>
      <c r="Q109" s="22"/>
      <c r="R109" s="22"/>
      <c r="S109" s="22"/>
      <c r="T109" s="33">
        <v>45132</v>
      </c>
      <c r="U109" s="19" t="s">
        <v>78</v>
      </c>
      <c r="V109" s="19" t="s">
        <v>116</v>
      </c>
      <c r="W109" s="20"/>
      <c r="X109" s="19"/>
      <c r="Y109" s="21">
        <v>170</v>
      </c>
      <c r="Z109" s="36" cm="1">
        <f t="array" ref="Z109">Vorlauf(Tabelle1[[#This Row],[Anbieter]])</f>
        <v>6</v>
      </c>
      <c r="AA109" s="37" t="str">
        <f>IFERROR(EDATE(Tabelle1[[#This Row],[Vertragsende]], -Tabelle1[[#This Row],[Vorlauf]]) + 1, "")</f>
        <v/>
      </c>
      <c r="AB109" s="37" t="str">
        <f>IFERROR(EDATE(Tabelle1[[#This Row],[Vertragsende]], -Tabelle1[[#This Row],[Vorlauf]] - 1) + 1, "")</f>
        <v/>
      </c>
    </row>
    <row r="110" spans="1:28" x14ac:dyDescent="0.25">
      <c r="A110" s="35">
        <f t="shared" si="3"/>
        <v>107</v>
      </c>
      <c r="B110" s="16" t="s">
        <v>117</v>
      </c>
      <c r="C110" s="16" t="s">
        <v>118</v>
      </c>
      <c r="D110" s="16" t="s">
        <v>65</v>
      </c>
      <c r="E110" s="16" t="s">
        <v>66</v>
      </c>
      <c r="F110" s="16" t="s">
        <v>67</v>
      </c>
      <c r="G110" s="18"/>
      <c r="H110" s="18"/>
      <c r="I110" s="32"/>
      <c r="J110" s="32"/>
      <c r="K110" s="32"/>
      <c r="L110" s="16"/>
      <c r="M110" s="16"/>
      <c r="N110" s="18" t="s">
        <v>313</v>
      </c>
      <c r="O110" s="22" t="s">
        <v>68</v>
      </c>
      <c r="P110" s="22" t="s">
        <v>78</v>
      </c>
      <c r="Q110" s="22"/>
      <c r="R110" s="22"/>
      <c r="S110" s="22"/>
      <c r="T110" s="33">
        <v>45239</v>
      </c>
      <c r="U110" s="19" t="s">
        <v>78</v>
      </c>
      <c r="V110" s="19"/>
      <c r="W110" s="20"/>
      <c r="X110" s="19"/>
      <c r="Y110" s="21">
        <v>365</v>
      </c>
      <c r="Z110" s="36" cm="1">
        <f t="array" ref="Z110">Vorlauf(Tabelle1[[#This Row],[Anbieter]])</f>
        <v>6</v>
      </c>
      <c r="AA110" s="37" t="str">
        <f>IFERROR(EDATE(Tabelle1[[#This Row],[Vertragsende]], -Tabelle1[[#This Row],[Vorlauf]]) + 1, "")</f>
        <v/>
      </c>
      <c r="AB110" s="37" t="str">
        <f>IFERROR(EDATE(Tabelle1[[#This Row],[Vertragsende]], -Tabelle1[[#This Row],[Vorlauf]] - 1) + 1, "")</f>
        <v/>
      </c>
    </row>
  </sheetData>
  <conditionalFormatting sqref="A4:AB110">
    <cfRule type="expression" dxfId="1" priority="2">
      <formula>AND($G4 = "X", $J4 = "", $K4 = "")</formula>
    </cfRule>
  </conditionalFormatting>
  <dataValidations disablePrompts="1" count="2">
    <dataValidation type="list" allowBlank="1" showInputMessage="1" showErrorMessage="1" sqref="N4:N110" xr:uid="{57C12F78-B250-4316-9450-98B1F7C2E325}">
      <formula1>"O,P"</formula1>
    </dataValidation>
    <dataValidation type="list" allowBlank="1" showInputMessage="1" showErrorMessage="1" sqref="G4:H110" xr:uid="{F90A6400-674C-4C5E-9B2A-99604320E4DD}">
      <formula1>"X"</formula1>
    </dataValidation>
  </dataValidations>
  <pageMargins left="0.7" right="0.7" top="0.78740157499999996" bottom="0.78740157499999996" header="0.3" footer="0.3"/>
  <ignoredErrors>
    <ignoredError sqref="D4:D110 E4:E110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5654-93A0-40AE-A900-2BE77EDD396C}">
  <dimension ref="A1:AC92"/>
  <sheetViews>
    <sheetView showGridLines="0" topLeftCell="A55" workbookViewId="0">
      <selection activeCell="A4" sqref="A4"/>
    </sheetView>
  </sheetViews>
  <sheetFormatPr baseColWidth="10" defaultRowHeight="13.5" x14ac:dyDescent="0.25"/>
  <cols>
    <col min="1" max="1" width="5.5" style="15" customWidth="1"/>
    <col min="2" max="2" width="12.625" style="15" customWidth="1"/>
    <col min="3" max="3" width="16" style="15" customWidth="1"/>
    <col min="4" max="4" width="11.25" style="15" customWidth="1"/>
    <col min="5" max="5" width="9" style="15" customWidth="1"/>
    <col min="6" max="6" width="6.375" style="15" customWidth="1"/>
    <col min="7" max="7" width="6.875" style="15" bestFit="1" customWidth="1"/>
    <col min="8" max="8" width="6.375" style="15" bestFit="1" customWidth="1"/>
    <col min="9" max="9" width="11.25" style="15" customWidth="1"/>
    <col min="10" max="11" width="6.875" style="15" bestFit="1" customWidth="1"/>
    <col min="12" max="12" width="10.125" style="15" customWidth="1"/>
    <col min="13" max="14" width="11" style="15"/>
    <col min="15" max="15" width="8.75" style="15" customWidth="1"/>
    <col min="16" max="16" width="8.125" style="15" customWidth="1"/>
    <col min="17" max="17" width="9.625" style="15" customWidth="1"/>
    <col min="18" max="18" width="9.75" style="15" customWidth="1"/>
    <col min="19" max="19" width="9.625" style="15" customWidth="1"/>
    <col min="20" max="20" width="9.125" style="15" customWidth="1"/>
    <col min="21" max="21" width="7.875" style="15" customWidth="1"/>
    <col min="22" max="22" width="8.875" style="15" bestFit="1" customWidth="1"/>
    <col min="23" max="23" width="39.75" style="15" bestFit="1" customWidth="1"/>
    <col min="24" max="24" width="11.75" style="15" bestFit="1" customWidth="1"/>
    <col min="25" max="25" width="11" style="15"/>
    <col min="26" max="26" width="7.625" style="15" customWidth="1"/>
    <col min="27" max="27" width="8.875" style="15" bestFit="1" customWidth="1"/>
    <col min="28" max="28" width="8.625" style="15" bestFit="1" customWidth="1"/>
    <col min="29" max="16384" width="11" style="15"/>
  </cols>
  <sheetData>
    <row r="1" spans="1:29" s="30" customFormat="1" ht="26.25" customHeight="1" x14ac:dyDescent="0.25">
      <c r="A1" s="28" t="s">
        <v>324</v>
      </c>
      <c r="B1" s="29"/>
      <c r="C1" s="29" t="str" cm="1">
        <f t="array" ref="C1">Fullname(Kunde!$B$4,Kunde!$B$5) &amp; ", " &amp; Kunde!$B$7</f>
        <v>Friedrich von Lien AG, 27404 Zeven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s="24" customFormat="1" ht="15" x14ac:dyDescent="0.25">
      <c r="A2" s="23" t="s">
        <v>321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5" t="s">
        <v>322</v>
      </c>
      <c r="P2" s="23"/>
      <c r="Q2" s="23"/>
      <c r="R2" s="23"/>
      <c r="S2" s="23"/>
      <c r="T2" s="27"/>
      <c r="U2" s="23" t="s">
        <v>323</v>
      </c>
      <c r="V2" s="27"/>
      <c r="W2" s="26"/>
      <c r="X2" s="23"/>
      <c r="Y2" s="23"/>
      <c r="Z2" s="23"/>
      <c r="AA2" s="23"/>
      <c r="AB2" s="23"/>
      <c r="AC2" s="27"/>
    </row>
    <row r="3" spans="1:29" s="17" customFormat="1" ht="36" customHeight="1" x14ac:dyDescent="0.25">
      <c r="A3" s="17" t="s">
        <v>55</v>
      </c>
      <c r="B3" s="17" t="s">
        <v>56</v>
      </c>
      <c r="C3" s="17" t="s">
        <v>301</v>
      </c>
      <c r="D3" s="17" t="s">
        <v>302</v>
      </c>
      <c r="E3" s="17" t="s">
        <v>303</v>
      </c>
      <c r="F3" s="17" t="s">
        <v>304</v>
      </c>
      <c r="G3" s="17" t="s">
        <v>305</v>
      </c>
      <c r="H3" s="17" t="s">
        <v>57</v>
      </c>
      <c r="I3" s="17" t="s">
        <v>307</v>
      </c>
      <c r="J3" s="17" t="s">
        <v>308</v>
      </c>
      <c r="K3" s="17" t="s">
        <v>309</v>
      </c>
      <c r="L3" s="17" t="s">
        <v>310</v>
      </c>
      <c r="M3" s="17" t="s">
        <v>311</v>
      </c>
      <c r="N3" s="17" t="s">
        <v>312</v>
      </c>
      <c r="O3" s="17" t="s">
        <v>58</v>
      </c>
      <c r="P3" s="17" t="s">
        <v>315</v>
      </c>
      <c r="Q3" s="17" t="s">
        <v>359</v>
      </c>
      <c r="R3" s="17" t="s">
        <v>60</v>
      </c>
      <c r="S3" s="17" t="s">
        <v>61</v>
      </c>
      <c r="T3" s="17" t="s">
        <v>62</v>
      </c>
      <c r="U3" s="17" t="s">
        <v>314</v>
      </c>
      <c r="V3" s="17" t="s">
        <v>316</v>
      </c>
      <c r="W3" s="17" t="s">
        <v>317</v>
      </c>
      <c r="X3" s="17" t="s">
        <v>318</v>
      </c>
      <c r="Y3" s="17" t="s">
        <v>319</v>
      </c>
      <c r="Z3" s="17" t="s">
        <v>320</v>
      </c>
      <c r="AA3" s="17" t="s">
        <v>325</v>
      </c>
      <c r="AB3" s="17" t="s">
        <v>326</v>
      </c>
      <c r="AC3" s="34" t="s">
        <v>327</v>
      </c>
    </row>
    <row r="4" spans="1:29" x14ac:dyDescent="0.25">
      <c r="A4" s="35">
        <f t="shared" ref="A4:A5" si="0">ROW()-3</f>
        <v>1</v>
      </c>
      <c r="B4" s="16" t="s">
        <v>76</v>
      </c>
      <c r="C4" s="16" t="s">
        <v>77</v>
      </c>
      <c r="D4" s="16" t="s">
        <v>65</v>
      </c>
      <c r="E4" s="16" t="s">
        <v>66</v>
      </c>
      <c r="F4" s="16" t="s">
        <v>67</v>
      </c>
      <c r="G4" s="18"/>
      <c r="H4" s="18" t="s">
        <v>306</v>
      </c>
      <c r="I4" s="32">
        <v>45394</v>
      </c>
      <c r="J4" s="32">
        <v>45212</v>
      </c>
      <c r="K4" s="32">
        <v>45170</v>
      </c>
      <c r="L4" s="16"/>
      <c r="M4" s="16"/>
      <c r="N4" s="18" t="s">
        <v>313</v>
      </c>
      <c r="O4" s="22" t="s">
        <v>328</v>
      </c>
      <c r="P4" s="22" t="s">
        <v>78</v>
      </c>
      <c r="Q4" s="22"/>
      <c r="R4" s="22"/>
      <c r="S4" s="22"/>
      <c r="T4" s="22"/>
      <c r="U4" s="33">
        <v>45248</v>
      </c>
      <c r="V4" s="19" t="s">
        <v>265</v>
      </c>
      <c r="W4" s="19" t="s">
        <v>329</v>
      </c>
      <c r="X4" s="20"/>
      <c r="Y4" s="19"/>
      <c r="Z4" s="21">
        <v>265</v>
      </c>
      <c r="AA4" s="36" cm="1">
        <f t="array" ref="AA4">Vorlauf(Tabelle13[[#This Row],[Anbieter]])</f>
        <v>6</v>
      </c>
      <c r="AB4" s="37">
        <f>IFERROR(EDATE(Tabelle13[[#This Row],[Vertragsende]], -Tabelle13[[#This Row],[Vorlauf]]) + 1,"")</f>
        <v>45212</v>
      </c>
      <c r="AC4" s="37">
        <f>IFERROR(EDATE(Tabelle13[[#This Row],[Vertragsende]], -Tabelle13[[#This Row],[Vorlauf]] - 1) + 1,"")</f>
        <v>45182</v>
      </c>
    </row>
    <row r="5" spans="1:29" x14ac:dyDescent="0.25">
      <c r="A5" s="35">
        <f t="shared" si="0"/>
        <v>2</v>
      </c>
      <c r="B5" s="16" t="s">
        <v>119</v>
      </c>
      <c r="C5" s="16" t="s">
        <v>120</v>
      </c>
      <c r="D5" s="16" t="s">
        <v>65</v>
      </c>
      <c r="E5" s="16" t="s">
        <v>66</v>
      </c>
      <c r="F5" s="16" t="s">
        <v>67</v>
      </c>
      <c r="G5" s="18"/>
      <c r="H5" s="18"/>
      <c r="I5" s="32">
        <v>45396</v>
      </c>
      <c r="J5" s="32">
        <v>45214</v>
      </c>
      <c r="K5" s="32">
        <v>45170</v>
      </c>
      <c r="L5" s="16"/>
      <c r="M5" s="16"/>
      <c r="N5" s="18" t="s">
        <v>313</v>
      </c>
      <c r="O5" s="22" t="s">
        <v>328</v>
      </c>
      <c r="P5" s="22" t="s">
        <v>69</v>
      </c>
      <c r="Q5" s="22"/>
      <c r="R5" s="22"/>
      <c r="S5" s="22"/>
      <c r="T5" s="22"/>
      <c r="U5" s="33">
        <v>45248</v>
      </c>
      <c r="V5" s="19" t="s">
        <v>161</v>
      </c>
      <c r="W5" s="19"/>
      <c r="X5" s="20"/>
      <c r="Y5" s="19"/>
      <c r="Z5" s="21">
        <v>165</v>
      </c>
      <c r="AA5" s="36" cm="1">
        <f t="array" ref="AA5">Vorlauf(Tabelle13[[#This Row],[Anbieter]])</f>
        <v>6</v>
      </c>
      <c r="AB5" s="37">
        <f>IFERROR(EDATE(Tabelle13[[#This Row],[Vertragsende]], -Tabelle13[[#This Row],[Vorlauf]]) + 1,"")</f>
        <v>45214</v>
      </c>
      <c r="AC5" s="37">
        <f>IFERROR(EDATE(Tabelle13[[#This Row],[Vertragsende]], -Tabelle13[[#This Row],[Vorlauf]] - 1) + 1,"")</f>
        <v>45184</v>
      </c>
    </row>
    <row r="6" spans="1:29" x14ac:dyDescent="0.25">
      <c r="A6" s="35">
        <f t="shared" ref="A6:A37" si="1">ROW()-3</f>
        <v>3</v>
      </c>
      <c r="B6" s="16" t="s">
        <v>121</v>
      </c>
      <c r="C6" s="16" t="s">
        <v>122</v>
      </c>
      <c r="D6" s="16" t="s">
        <v>65</v>
      </c>
      <c r="E6" s="16" t="s">
        <v>66</v>
      </c>
      <c r="F6" s="16" t="s">
        <v>67</v>
      </c>
      <c r="G6" s="18"/>
      <c r="H6" s="18"/>
      <c r="I6" s="32">
        <v>45396</v>
      </c>
      <c r="J6" s="32">
        <v>45214</v>
      </c>
      <c r="K6" s="32">
        <v>45170</v>
      </c>
      <c r="L6" s="16"/>
      <c r="M6" s="16"/>
      <c r="N6" s="18" t="s">
        <v>313</v>
      </c>
      <c r="O6" s="22" t="s">
        <v>328</v>
      </c>
      <c r="P6" s="22" t="s">
        <v>69</v>
      </c>
      <c r="Q6" s="22"/>
      <c r="R6" s="22"/>
      <c r="S6" s="22"/>
      <c r="T6" s="22"/>
      <c r="U6" s="33">
        <v>45248</v>
      </c>
      <c r="V6" s="19" t="s">
        <v>161</v>
      </c>
      <c r="W6" s="19"/>
      <c r="X6" s="20"/>
      <c r="Y6" s="19"/>
      <c r="Z6" s="21">
        <v>165</v>
      </c>
      <c r="AA6" s="36" cm="1">
        <f t="array" ref="AA6">Vorlauf(Tabelle13[[#This Row],[Anbieter]])</f>
        <v>6</v>
      </c>
      <c r="AB6" s="37">
        <f>IFERROR(EDATE(Tabelle13[[#This Row],[Vertragsende]], -Tabelle13[[#This Row],[Vorlauf]]) + 1,"")</f>
        <v>45214</v>
      </c>
      <c r="AC6" s="37">
        <f>IFERROR(EDATE(Tabelle13[[#This Row],[Vertragsende]], -Tabelle13[[#This Row],[Vorlauf]] - 1) + 1,"")</f>
        <v>45184</v>
      </c>
    </row>
    <row r="7" spans="1:29" x14ac:dyDescent="0.25">
      <c r="A7" s="35">
        <f t="shared" si="1"/>
        <v>4</v>
      </c>
      <c r="B7" s="16" t="s">
        <v>123</v>
      </c>
      <c r="C7" s="16" t="s">
        <v>124</v>
      </c>
      <c r="D7" s="16" t="s">
        <v>65</v>
      </c>
      <c r="E7" s="16" t="s">
        <v>66</v>
      </c>
      <c r="F7" s="16" t="s">
        <v>67</v>
      </c>
      <c r="G7" s="18"/>
      <c r="H7" s="18"/>
      <c r="I7" s="32">
        <v>45396</v>
      </c>
      <c r="J7" s="32">
        <v>45214</v>
      </c>
      <c r="K7" s="32">
        <v>45170</v>
      </c>
      <c r="L7" s="16"/>
      <c r="M7" s="16"/>
      <c r="N7" s="18" t="s">
        <v>313</v>
      </c>
      <c r="O7" s="22" t="s">
        <v>328</v>
      </c>
      <c r="P7" s="22" t="s">
        <v>69</v>
      </c>
      <c r="Q7" s="22"/>
      <c r="R7" s="22"/>
      <c r="S7" s="22"/>
      <c r="T7" s="22"/>
      <c r="U7" s="33">
        <v>45248</v>
      </c>
      <c r="V7" s="19" t="s">
        <v>161</v>
      </c>
      <c r="W7" s="19"/>
      <c r="X7" s="20"/>
      <c r="Y7" s="19"/>
      <c r="Z7" s="21">
        <v>165</v>
      </c>
      <c r="AA7" s="36" cm="1">
        <f t="array" ref="AA7">Vorlauf(Tabelle13[[#This Row],[Anbieter]])</f>
        <v>6</v>
      </c>
      <c r="AB7" s="37">
        <f>IFERROR(EDATE(Tabelle13[[#This Row],[Vertragsende]], -Tabelle13[[#This Row],[Vorlauf]]) + 1,"")</f>
        <v>45214</v>
      </c>
      <c r="AC7" s="37">
        <f>IFERROR(EDATE(Tabelle13[[#This Row],[Vertragsende]], -Tabelle13[[#This Row],[Vorlauf]] - 1) + 1,"")</f>
        <v>45184</v>
      </c>
    </row>
    <row r="8" spans="1:29" x14ac:dyDescent="0.25">
      <c r="A8" s="35">
        <f t="shared" si="1"/>
        <v>5</v>
      </c>
      <c r="B8" s="16" t="s">
        <v>125</v>
      </c>
      <c r="C8" s="16" t="s">
        <v>126</v>
      </c>
      <c r="D8" s="16" t="s">
        <v>65</v>
      </c>
      <c r="E8" s="16" t="s">
        <v>66</v>
      </c>
      <c r="F8" s="16" t="s">
        <v>67</v>
      </c>
      <c r="G8" s="18"/>
      <c r="H8" s="18"/>
      <c r="I8" s="32">
        <v>45396</v>
      </c>
      <c r="J8" s="32">
        <v>45214</v>
      </c>
      <c r="K8" s="32">
        <v>45170</v>
      </c>
      <c r="L8" s="16"/>
      <c r="M8" s="16"/>
      <c r="N8" s="18" t="s">
        <v>313</v>
      </c>
      <c r="O8" s="22" t="s">
        <v>328</v>
      </c>
      <c r="P8" s="22" t="s">
        <v>69</v>
      </c>
      <c r="Q8" s="22"/>
      <c r="R8" s="22"/>
      <c r="S8" s="22"/>
      <c r="T8" s="22"/>
      <c r="U8" s="33">
        <v>45248</v>
      </c>
      <c r="V8" s="19" t="s">
        <v>161</v>
      </c>
      <c r="W8" s="19"/>
      <c r="X8" s="20"/>
      <c r="Y8" s="19"/>
      <c r="Z8" s="21">
        <v>165</v>
      </c>
      <c r="AA8" s="36" cm="1">
        <f t="array" ref="AA8">Vorlauf(Tabelle13[[#This Row],[Anbieter]])</f>
        <v>6</v>
      </c>
      <c r="AB8" s="37">
        <f>IFERROR(EDATE(Tabelle13[[#This Row],[Vertragsende]], -Tabelle13[[#This Row],[Vorlauf]]) + 1,"")</f>
        <v>45214</v>
      </c>
      <c r="AC8" s="37">
        <f>IFERROR(EDATE(Tabelle13[[#This Row],[Vertragsende]], -Tabelle13[[#This Row],[Vorlauf]] - 1) + 1,"")</f>
        <v>45184</v>
      </c>
    </row>
    <row r="9" spans="1:29" x14ac:dyDescent="0.25">
      <c r="A9" s="35">
        <f t="shared" si="1"/>
        <v>6</v>
      </c>
      <c r="B9" s="16" t="s">
        <v>127</v>
      </c>
      <c r="C9" s="16" t="s">
        <v>128</v>
      </c>
      <c r="D9" s="16" t="s">
        <v>65</v>
      </c>
      <c r="E9" s="16" t="s">
        <v>66</v>
      </c>
      <c r="F9" s="16" t="s">
        <v>67</v>
      </c>
      <c r="G9" s="18"/>
      <c r="H9" s="18"/>
      <c r="I9" s="32">
        <v>45396</v>
      </c>
      <c r="J9" s="32">
        <v>45214</v>
      </c>
      <c r="K9" s="32">
        <v>45170</v>
      </c>
      <c r="L9" s="16"/>
      <c r="M9" s="16"/>
      <c r="N9" s="18" t="s">
        <v>313</v>
      </c>
      <c r="O9" s="22" t="s">
        <v>328</v>
      </c>
      <c r="P9" s="22" t="s">
        <v>69</v>
      </c>
      <c r="Q9" s="22"/>
      <c r="R9" s="22"/>
      <c r="S9" s="22"/>
      <c r="T9" s="22"/>
      <c r="U9" s="33">
        <v>45248</v>
      </c>
      <c r="V9" s="19" t="s">
        <v>161</v>
      </c>
      <c r="W9" s="19"/>
      <c r="X9" s="20"/>
      <c r="Y9" s="19"/>
      <c r="Z9" s="21">
        <v>165</v>
      </c>
      <c r="AA9" s="36" cm="1">
        <f t="array" ref="AA9">Vorlauf(Tabelle13[[#This Row],[Anbieter]])</f>
        <v>6</v>
      </c>
      <c r="AB9" s="37">
        <f>IFERROR(EDATE(Tabelle13[[#This Row],[Vertragsende]], -Tabelle13[[#This Row],[Vorlauf]]) + 1,"")</f>
        <v>45214</v>
      </c>
      <c r="AC9" s="37">
        <f>IFERROR(EDATE(Tabelle13[[#This Row],[Vertragsende]], -Tabelle13[[#This Row],[Vorlauf]] - 1) + 1,"")</f>
        <v>45184</v>
      </c>
    </row>
    <row r="10" spans="1:29" x14ac:dyDescent="0.25">
      <c r="A10" s="35">
        <f t="shared" si="1"/>
        <v>7</v>
      </c>
      <c r="B10" s="16" t="s">
        <v>129</v>
      </c>
      <c r="C10" s="16" t="s">
        <v>130</v>
      </c>
      <c r="D10" s="16" t="s">
        <v>65</v>
      </c>
      <c r="E10" s="16" t="s">
        <v>66</v>
      </c>
      <c r="F10" s="16" t="s">
        <v>67</v>
      </c>
      <c r="G10" s="18"/>
      <c r="H10" s="18"/>
      <c r="I10" s="32">
        <v>45396</v>
      </c>
      <c r="J10" s="32">
        <v>45214</v>
      </c>
      <c r="K10" s="32">
        <v>45170</v>
      </c>
      <c r="L10" s="16"/>
      <c r="M10" s="16"/>
      <c r="N10" s="18" t="s">
        <v>313</v>
      </c>
      <c r="O10" s="22" t="s">
        <v>328</v>
      </c>
      <c r="P10" s="22" t="s">
        <v>69</v>
      </c>
      <c r="Q10" s="22"/>
      <c r="R10" s="22"/>
      <c r="S10" s="22"/>
      <c r="T10" s="22"/>
      <c r="U10" s="33">
        <v>45248</v>
      </c>
      <c r="V10" s="19" t="s">
        <v>161</v>
      </c>
      <c r="W10" s="19"/>
      <c r="X10" s="20"/>
      <c r="Y10" s="19"/>
      <c r="Z10" s="21">
        <v>165</v>
      </c>
      <c r="AA10" s="36" cm="1">
        <f t="array" ref="AA10">Vorlauf(Tabelle13[[#This Row],[Anbieter]])</f>
        <v>6</v>
      </c>
      <c r="AB10" s="37">
        <f>IFERROR(EDATE(Tabelle13[[#This Row],[Vertragsende]], -Tabelle13[[#This Row],[Vorlauf]]) + 1,"")</f>
        <v>45214</v>
      </c>
      <c r="AC10" s="37">
        <f>IFERROR(EDATE(Tabelle13[[#This Row],[Vertragsende]], -Tabelle13[[#This Row],[Vorlauf]] - 1) + 1,"")</f>
        <v>45184</v>
      </c>
    </row>
    <row r="11" spans="1:29" x14ac:dyDescent="0.25">
      <c r="A11" s="35">
        <f t="shared" si="1"/>
        <v>8</v>
      </c>
      <c r="B11" s="16" t="s">
        <v>131</v>
      </c>
      <c r="C11" s="16" t="s">
        <v>132</v>
      </c>
      <c r="D11" s="16" t="s">
        <v>65</v>
      </c>
      <c r="E11" s="16" t="s">
        <v>66</v>
      </c>
      <c r="F11" s="16" t="s">
        <v>67</v>
      </c>
      <c r="G11" s="18"/>
      <c r="H11" s="18"/>
      <c r="I11" s="32">
        <v>45396</v>
      </c>
      <c r="J11" s="32">
        <v>45214</v>
      </c>
      <c r="K11" s="32">
        <v>45170</v>
      </c>
      <c r="L11" s="16"/>
      <c r="M11" s="16"/>
      <c r="N11" s="18" t="s">
        <v>313</v>
      </c>
      <c r="O11" s="22" t="s">
        <v>328</v>
      </c>
      <c r="P11" s="22" t="s">
        <v>69</v>
      </c>
      <c r="Q11" s="22"/>
      <c r="R11" s="22"/>
      <c r="S11" s="22"/>
      <c r="T11" s="22"/>
      <c r="U11" s="33">
        <v>45248</v>
      </c>
      <c r="V11" s="19" t="s">
        <v>161</v>
      </c>
      <c r="W11" s="19"/>
      <c r="X11" s="20"/>
      <c r="Y11" s="19"/>
      <c r="Z11" s="21">
        <v>165</v>
      </c>
      <c r="AA11" s="36" cm="1">
        <f t="array" ref="AA11">Vorlauf(Tabelle13[[#This Row],[Anbieter]])</f>
        <v>6</v>
      </c>
      <c r="AB11" s="37">
        <f>IFERROR(EDATE(Tabelle13[[#This Row],[Vertragsende]], -Tabelle13[[#This Row],[Vorlauf]]) + 1,"")</f>
        <v>45214</v>
      </c>
      <c r="AC11" s="37">
        <f>IFERROR(EDATE(Tabelle13[[#This Row],[Vertragsende]], -Tabelle13[[#This Row],[Vorlauf]] - 1) + 1,"")</f>
        <v>45184</v>
      </c>
    </row>
    <row r="12" spans="1:29" x14ac:dyDescent="0.25">
      <c r="A12" s="35">
        <f t="shared" si="1"/>
        <v>9</v>
      </c>
      <c r="B12" s="16" t="s">
        <v>133</v>
      </c>
      <c r="C12" s="16" t="s">
        <v>134</v>
      </c>
      <c r="D12" s="16" t="s">
        <v>65</v>
      </c>
      <c r="E12" s="16" t="s">
        <v>66</v>
      </c>
      <c r="F12" s="16" t="s">
        <v>67</v>
      </c>
      <c r="G12" s="18"/>
      <c r="H12" s="18"/>
      <c r="I12" s="32">
        <v>45396</v>
      </c>
      <c r="J12" s="32">
        <v>45214</v>
      </c>
      <c r="K12" s="32">
        <v>45170</v>
      </c>
      <c r="L12" s="16"/>
      <c r="M12" s="16"/>
      <c r="N12" s="18" t="s">
        <v>313</v>
      </c>
      <c r="O12" s="22" t="s">
        <v>328</v>
      </c>
      <c r="P12" s="22" t="s">
        <v>69</v>
      </c>
      <c r="Q12" s="22"/>
      <c r="R12" s="22"/>
      <c r="S12" s="22"/>
      <c r="T12" s="22"/>
      <c r="U12" s="33">
        <v>45248</v>
      </c>
      <c r="V12" s="19" t="s">
        <v>161</v>
      </c>
      <c r="W12" s="19"/>
      <c r="X12" s="20"/>
      <c r="Y12" s="19"/>
      <c r="Z12" s="21">
        <v>165</v>
      </c>
      <c r="AA12" s="36" cm="1">
        <f t="array" ref="AA12">Vorlauf(Tabelle13[[#This Row],[Anbieter]])</f>
        <v>6</v>
      </c>
      <c r="AB12" s="37">
        <f>IFERROR(EDATE(Tabelle13[[#This Row],[Vertragsende]], -Tabelle13[[#This Row],[Vorlauf]]) + 1,"")</f>
        <v>45214</v>
      </c>
      <c r="AC12" s="37">
        <f>IFERROR(EDATE(Tabelle13[[#This Row],[Vertragsende]], -Tabelle13[[#This Row],[Vorlauf]] - 1) + 1,"")</f>
        <v>45184</v>
      </c>
    </row>
    <row r="13" spans="1:29" x14ac:dyDescent="0.25">
      <c r="A13" s="35">
        <f t="shared" si="1"/>
        <v>10</v>
      </c>
      <c r="B13" s="16" t="s">
        <v>135</v>
      </c>
      <c r="C13" s="16" t="s">
        <v>136</v>
      </c>
      <c r="D13" s="16" t="s">
        <v>65</v>
      </c>
      <c r="E13" s="16" t="s">
        <v>66</v>
      </c>
      <c r="F13" s="16" t="s">
        <v>67</v>
      </c>
      <c r="G13" s="18"/>
      <c r="H13" s="18"/>
      <c r="I13" s="32">
        <v>45396</v>
      </c>
      <c r="J13" s="32">
        <v>45214</v>
      </c>
      <c r="K13" s="32">
        <v>45170</v>
      </c>
      <c r="L13" s="16"/>
      <c r="M13" s="16"/>
      <c r="N13" s="18" t="s">
        <v>313</v>
      </c>
      <c r="O13" s="22" t="s">
        <v>328</v>
      </c>
      <c r="P13" s="22" t="s">
        <v>69</v>
      </c>
      <c r="Q13" s="22"/>
      <c r="R13" s="22"/>
      <c r="S13" s="22"/>
      <c r="T13" s="22"/>
      <c r="U13" s="33">
        <v>45248</v>
      </c>
      <c r="V13" s="19" t="s">
        <v>161</v>
      </c>
      <c r="W13" s="19"/>
      <c r="X13" s="20"/>
      <c r="Y13" s="19"/>
      <c r="Z13" s="21">
        <v>165</v>
      </c>
      <c r="AA13" s="36" cm="1">
        <f t="array" ref="AA13">Vorlauf(Tabelle13[[#This Row],[Anbieter]])</f>
        <v>6</v>
      </c>
      <c r="AB13" s="37">
        <f>IFERROR(EDATE(Tabelle13[[#This Row],[Vertragsende]], -Tabelle13[[#This Row],[Vorlauf]]) + 1,"")</f>
        <v>45214</v>
      </c>
      <c r="AC13" s="37">
        <f>IFERROR(EDATE(Tabelle13[[#This Row],[Vertragsende]], -Tabelle13[[#This Row],[Vorlauf]] - 1) + 1,"")</f>
        <v>45184</v>
      </c>
    </row>
    <row r="14" spans="1:29" x14ac:dyDescent="0.25">
      <c r="A14" s="35">
        <f t="shared" si="1"/>
        <v>11</v>
      </c>
      <c r="B14" s="16" t="s">
        <v>137</v>
      </c>
      <c r="C14" s="16" t="s">
        <v>138</v>
      </c>
      <c r="D14" s="16" t="s">
        <v>65</v>
      </c>
      <c r="E14" s="16" t="s">
        <v>66</v>
      </c>
      <c r="F14" s="16" t="s">
        <v>67</v>
      </c>
      <c r="G14" s="18"/>
      <c r="H14" s="18"/>
      <c r="I14" s="32">
        <v>45396</v>
      </c>
      <c r="J14" s="32">
        <v>45214</v>
      </c>
      <c r="K14" s="32">
        <v>45170</v>
      </c>
      <c r="L14" s="16"/>
      <c r="M14" s="16"/>
      <c r="N14" s="18" t="s">
        <v>313</v>
      </c>
      <c r="O14" s="22" t="s">
        <v>328</v>
      </c>
      <c r="P14" s="22" t="s">
        <v>69</v>
      </c>
      <c r="Q14" s="22"/>
      <c r="R14" s="22"/>
      <c r="S14" s="22"/>
      <c r="T14" s="22"/>
      <c r="U14" s="33">
        <v>45248</v>
      </c>
      <c r="V14" s="19" t="s">
        <v>161</v>
      </c>
      <c r="W14" s="19"/>
      <c r="X14" s="20"/>
      <c r="Y14" s="19"/>
      <c r="Z14" s="21">
        <v>165</v>
      </c>
      <c r="AA14" s="36" cm="1">
        <f t="array" ref="AA14">Vorlauf(Tabelle13[[#This Row],[Anbieter]])</f>
        <v>6</v>
      </c>
      <c r="AB14" s="37">
        <f>IFERROR(EDATE(Tabelle13[[#This Row],[Vertragsende]], -Tabelle13[[#This Row],[Vorlauf]]) + 1,"")</f>
        <v>45214</v>
      </c>
      <c r="AC14" s="37">
        <f>IFERROR(EDATE(Tabelle13[[#This Row],[Vertragsende]], -Tabelle13[[#This Row],[Vorlauf]] - 1) + 1,"")</f>
        <v>45184</v>
      </c>
    </row>
    <row r="15" spans="1:29" x14ac:dyDescent="0.25">
      <c r="A15" s="35">
        <f t="shared" si="1"/>
        <v>12</v>
      </c>
      <c r="B15" s="16" t="s">
        <v>139</v>
      </c>
      <c r="C15" s="16" t="s">
        <v>140</v>
      </c>
      <c r="D15" s="16" t="s">
        <v>65</v>
      </c>
      <c r="E15" s="16" t="s">
        <v>66</v>
      </c>
      <c r="F15" s="16" t="s">
        <v>67</v>
      </c>
      <c r="G15" s="18"/>
      <c r="H15" s="18"/>
      <c r="I15" s="32">
        <v>45396</v>
      </c>
      <c r="J15" s="32">
        <v>45214</v>
      </c>
      <c r="K15" s="32">
        <v>45170</v>
      </c>
      <c r="L15" s="16"/>
      <c r="M15" s="16"/>
      <c r="N15" s="18" t="s">
        <v>313</v>
      </c>
      <c r="O15" s="22" t="s">
        <v>328</v>
      </c>
      <c r="P15" s="22" t="s">
        <v>69</v>
      </c>
      <c r="Q15" s="22"/>
      <c r="R15" s="22"/>
      <c r="S15" s="22"/>
      <c r="T15" s="22"/>
      <c r="U15" s="33">
        <v>45248</v>
      </c>
      <c r="V15" s="19" t="s">
        <v>161</v>
      </c>
      <c r="W15" s="19"/>
      <c r="X15" s="20"/>
      <c r="Y15" s="19"/>
      <c r="Z15" s="21">
        <v>165</v>
      </c>
      <c r="AA15" s="36" cm="1">
        <f t="array" ref="AA15">Vorlauf(Tabelle13[[#This Row],[Anbieter]])</f>
        <v>6</v>
      </c>
      <c r="AB15" s="37">
        <f>IFERROR(EDATE(Tabelle13[[#This Row],[Vertragsende]], -Tabelle13[[#This Row],[Vorlauf]]) + 1,"")</f>
        <v>45214</v>
      </c>
      <c r="AC15" s="37">
        <f>IFERROR(EDATE(Tabelle13[[#This Row],[Vertragsende]], -Tabelle13[[#This Row],[Vorlauf]] - 1) + 1,"")</f>
        <v>45184</v>
      </c>
    </row>
    <row r="16" spans="1:29" x14ac:dyDescent="0.25">
      <c r="A16" s="35">
        <f t="shared" si="1"/>
        <v>13</v>
      </c>
      <c r="B16" s="16" t="s">
        <v>141</v>
      </c>
      <c r="C16" s="16" t="s">
        <v>142</v>
      </c>
      <c r="D16" s="16" t="s">
        <v>65</v>
      </c>
      <c r="E16" s="16" t="s">
        <v>66</v>
      </c>
      <c r="F16" s="16" t="s">
        <v>67</v>
      </c>
      <c r="G16" s="18"/>
      <c r="H16" s="18"/>
      <c r="I16" s="32">
        <v>45396</v>
      </c>
      <c r="J16" s="32">
        <v>45214</v>
      </c>
      <c r="K16" s="32">
        <v>45170</v>
      </c>
      <c r="L16" s="16"/>
      <c r="M16" s="16"/>
      <c r="N16" s="18" t="s">
        <v>313</v>
      </c>
      <c r="O16" s="22" t="s">
        <v>328</v>
      </c>
      <c r="P16" s="22" t="s">
        <v>69</v>
      </c>
      <c r="Q16" s="22"/>
      <c r="R16" s="22"/>
      <c r="S16" s="22"/>
      <c r="T16" s="22"/>
      <c r="U16" s="33">
        <v>45248</v>
      </c>
      <c r="V16" s="19" t="s">
        <v>161</v>
      </c>
      <c r="W16" s="19"/>
      <c r="X16" s="20"/>
      <c r="Y16" s="19"/>
      <c r="Z16" s="21">
        <v>165</v>
      </c>
      <c r="AA16" s="36" cm="1">
        <f t="array" ref="AA16">Vorlauf(Tabelle13[[#This Row],[Anbieter]])</f>
        <v>6</v>
      </c>
      <c r="AB16" s="37">
        <f>IFERROR(EDATE(Tabelle13[[#This Row],[Vertragsende]], -Tabelle13[[#This Row],[Vorlauf]]) + 1,"")</f>
        <v>45214</v>
      </c>
      <c r="AC16" s="37">
        <f>IFERROR(EDATE(Tabelle13[[#This Row],[Vertragsende]], -Tabelle13[[#This Row],[Vorlauf]] - 1) + 1,"")</f>
        <v>45184</v>
      </c>
    </row>
    <row r="17" spans="1:29" x14ac:dyDescent="0.25">
      <c r="A17" s="35">
        <f t="shared" si="1"/>
        <v>14</v>
      </c>
      <c r="B17" s="16" t="s">
        <v>143</v>
      </c>
      <c r="C17" s="16" t="s">
        <v>144</v>
      </c>
      <c r="D17" s="16" t="s">
        <v>65</v>
      </c>
      <c r="E17" s="16" t="s">
        <v>66</v>
      </c>
      <c r="F17" s="16" t="s">
        <v>67</v>
      </c>
      <c r="G17" s="18"/>
      <c r="H17" s="18"/>
      <c r="I17" s="32">
        <v>45396</v>
      </c>
      <c r="J17" s="32">
        <v>45214</v>
      </c>
      <c r="K17" s="32">
        <v>45170</v>
      </c>
      <c r="L17" s="16"/>
      <c r="M17" s="16"/>
      <c r="N17" s="18" t="s">
        <v>313</v>
      </c>
      <c r="O17" s="22" t="s">
        <v>328</v>
      </c>
      <c r="P17" s="22" t="s">
        <v>69</v>
      </c>
      <c r="Q17" s="22"/>
      <c r="R17" s="22"/>
      <c r="S17" s="22"/>
      <c r="T17" s="22"/>
      <c r="U17" s="33">
        <v>45248</v>
      </c>
      <c r="V17" s="19" t="s">
        <v>161</v>
      </c>
      <c r="W17" s="19"/>
      <c r="X17" s="20"/>
      <c r="Y17" s="19"/>
      <c r="Z17" s="21">
        <v>165</v>
      </c>
      <c r="AA17" s="36" cm="1">
        <f t="array" ref="AA17">Vorlauf(Tabelle13[[#This Row],[Anbieter]])</f>
        <v>6</v>
      </c>
      <c r="AB17" s="37">
        <f>IFERROR(EDATE(Tabelle13[[#This Row],[Vertragsende]], -Tabelle13[[#This Row],[Vorlauf]]) + 1,"")</f>
        <v>45214</v>
      </c>
      <c r="AC17" s="37">
        <f>IFERROR(EDATE(Tabelle13[[#This Row],[Vertragsende]], -Tabelle13[[#This Row],[Vorlauf]] - 1) + 1,"")</f>
        <v>45184</v>
      </c>
    </row>
    <row r="18" spans="1:29" x14ac:dyDescent="0.25">
      <c r="A18" s="35">
        <f t="shared" si="1"/>
        <v>15</v>
      </c>
      <c r="B18" s="16" t="s">
        <v>145</v>
      </c>
      <c r="C18" s="16" t="s">
        <v>146</v>
      </c>
      <c r="D18" s="16" t="s">
        <v>65</v>
      </c>
      <c r="E18" s="16" t="s">
        <v>66</v>
      </c>
      <c r="F18" s="16" t="s">
        <v>67</v>
      </c>
      <c r="G18" s="18"/>
      <c r="H18" s="18"/>
      <c r="I18" s="32">
        <v>45396</v>
      </c>
      <c r="J18" s="32">
        <v>45214</v>
      </c>
      <c r="K18" s="32">
        <v>45170</v>
      </c>
      <c r="L18" s="16"/>
      <c r="M18" s="16"/>
      <c r="N18" s="18" t="s">
        <v>313</v>
      </c>
      <c r="O18" s="22" t="s">
        <v>328</v>
      </c>
      <c r="P18" s="22" t="s">
        <v>69</v>
      </c>
      <c r="Q18" s="22"/>
      <c r="R18" s="22"/>
      <c r="S18" s="22"/>
      <c r="T18" s="22"/>
      <c r="U18" s="33">
        <v>45248</v>
      </c>
      <c r="V18" s="19" t="s">
        <v>161</v>
      </c>
      <c r="W18" s="19"/>
      <c r="X18" s="20"/>
      <c r="Y18" s="19"/>
      <c r="Z18" s="21">
        <v>165</v>
      </c>
      <c r="AA18" s="36" cm="1">
        <f t="array" ref="AA18">Vorlauf(Tabelle13[[#This Row],[Anbieter]])</f>
        <v>6</v>
      </c>
      <c r="AB18" s="37">
        <f>IFERROR(EDATE(Tabelle13[[#This Row],[Vertragsende]], -Tabelle13[[#This Row],[Vorlauf]]) + 1,"")</f>
        <v>45214</v>
      </c>
      <c r="AC18" s="37">
        <f>IFERROR(EDATE(Tabelle13[[#This Row],[Vertragsende]], -Tabelle13[[#This Row],[Vorlauf]] - 1) + 1,"")</f>
        <v>45184</v>
      </c>
    </row>
    <row r="19" spans="1:29" x14ac:dyDescent="0.25">
      <c r="A19" s="35">
        <f t="shared" si="1"/>
        <v>16</v>
      </c>
      <c r="B19" s="16" t="s">
        <v>147</v>
      </c>
      <c r="C19" s="16" t="s">
        <v>148</v>
      </c>
      <c r="D19" s="16" t="s">
        <v>65</v>
      </c>
      <c r="E19" s="16" t="s">
        <v>66</v>
      </c>
      <c r="F19" s="16" t="s">
        <v>67</v>
      </c>
      <c r="G19" s="18"/>
      <c r="H19" s="18"/>
      <c r="I19" s="32">
        <v>45396</v>
      </c>
      <c r="J19" s="32">
        <v>45214</v>
      </c>
      <c r="K19" s="32">
        <v>45170</v>
      </c>
      <c r="L19" s="16"/>
      <c r="M19" s="16"/>
      <c r="N19" s="18" t="s">
        <v>313</v>
      </c>
      <c r="O19" s="22" t="s">
        <v>328</v>
      </c>
      <c r="P19" s="22" t="s">
        <v>69</v>
      </c>
      <c r="Q19" s="22"/>
      <c r="R19" s="22"/>
      <c r="S19" s="22"/>
      <c r="T19" s="22"/>
      <c r="U19" s="33">
        <v>45248</v>
      </c>
      <c r="V19" s="19" t="s">
        <v>161</v>
      </c>
      <c r="W19" s="19"/>
      <c r="X19" s="20"/>
      <c r="Y19" s="19"/>
      <c r="Z19" s="21">
        <v>165</v>
      </c>
      <c r="AA19" s="36" cm="1">
        <f t="array" ref="AA19">Vorlauf(Tabelle13[[#This Row],[Anbieter]])</f>
        <v>6</v>
      </c>
      <c r="AB19" s="37">
        <f>IFERROR(EDATE(Tabelle13[[#This Row],[Vertragsende]], -Tabelle13[[#This Row],[Vorlauf]]) + 1,"")</f>
        <v>45214</v>
      </c>
      <c r="AC19" s="37">
        <f>IFERROR(EDATE(Tabelle13[[#This Row],[Vertragsende]], -Tabelle13[[#This Row],[Vorlauf]] - 1) + 1,"")</f>
        <v>45184</v>
      </c>
    </row>
    <row r="20" spans="1:29" x14ac:dyDescent="0.25">
      <c r="A20" s="35">
        <f t="shared" si="1"/>
        <v>17</v>
      </c>
      <c r="B20" s="16" t="s">
        <v>149</v>
      </c>
      <c r="C20" s="16" t="s">
        <v>330</v>
      </c>
      <c r="D20" s="16" t="s">
        <v>65</v>
      </c>
      <c r="E20" s="16" t="s">
        <v>66</v>
      </c>
      <c r="F20" s="16" t="s">
        <v>67</v>
      </c>
      <c r="G20" s="18"/>
      <c r="H20" s="18"/>
      <c r="I20" s="32">
        <v>45396</v>
      </c>
      <c r="J20" s="32">
        <v>45214</v>
      </c>
      <c r="K20" s="32">
        <v>45170</v>
      </c>
      <c r="L20" s="16"/>
      <c r="M20" s="16"/>
      <c r="N20" s="18" t="s">
        <v>313</v>
      </c>
      <c r="O20" s="22" t="s">
        <v>328</v>
      </c>
      <c r="P20" s="22" t="s">
        <v>69</v>
      </c>
      <c r="Q20" s="22"/>
      <c r="R20" s="22"/>
      <c r="S20" s="22"/>
      <c r="T20" s="22"/>
      <c r="U20" s="33">
        <v>45248</v>
      </c>
      <c r="V20" s="19" t="s">
        <v>161</v>
      </c>
      <c r="W20" s="19"/>
      <c r="X20" s="20"/>
      <c r="Y20" s="19"/>
      <c r="Z20" s="21">
        <v>165</v>
      </c>
      <c r="AA20" s="36" cm="1">
        <f t="array" ref="AA20">Vorlauf(Tabelle13[[#This Row],[Anbieter]])</f>
        <v>6</v>
      </c>
      <c r="AB20" s="37">
        <f>IFERROR(EDATE(Tabelle13[[#This Row],[Vertragsende]], -Tabelle13[[#This Row],[Vorlauf]]) + 1,"")</f>
        <v>45214</v>
      </c>
      <c r="AC20" s="37">
        <f>IFERROR(EDATE(Tabelle13[[#This Row],[Vertragsende]], -Tabelle13[[#This Row],[Vorlauf]] - 1) + 1,"")</f>
        <v>45184</v>
      </c>
    </row>
    <row r="21" spans="1:29" x14ac:dyDescent="0.25">
      <c r="A21" s="35">
        <f t="shared" si="1"/>
        <v>18</v>
      </c>
      <c r="B21" s="16" t="s">
        <v>151</v>
      </c>
      <c r="C21" s="16" t="s">
        <v>152</v>
      </c>
      <c r="D21" s="16" t="s">
        <v>65</v>
      </c>
      <c r="E21" s="16" t="s">
        <v>66</v>
      </c>
      <c r="F21" s="16" t="s">
        <v>67</v>
      </c>
      <c r="G21" s="18"/>
      <c r="H21" s="18"/>
      <c r="I21" s="32">
        <v>45396</v>
      </c>
      <c r="J21" s="32">
        <v>45214</v>
      </c>
      <c r="K21" s="32">
        <v>45170</v>
      </c>
      <c r="L21" s="16"/>
      <c r="M21" s="16"/>
      <c r="N21" s="18" t="s">
        <v>313</v>
      </c>
      <c r="O21" s="22" t="s">
        <v>328</v>
      </c>
      <c r="P21" s="22" t="s">
        <v>69</v>
      </c>
      <c r="Q21" s="22"/>
      <c r="R21" s="22"/>
      <c r="S21" s="22"/>
      <c r="T21" s="22"/>
      <c r="U21" s="33">
        <v>45248</v>
      </c>
      <c r="V21" s="19" t="s">
        <v>161</v>
      </c>
      <c r="W21" s="19"/>
      <c r="X21" s="20"/>
      <c r="Y21" s="19"/>
      <c r="Z21" s="21">
        <v>165</v>
      </c>
      <c r="AA21" s="36" cm="1">
        <f t="array" ref="AA21">Vorlauf(Tabelle13[[#This Row],[Anbieter]])</f>
        <v>6</v>
      </c>
      <c r="AB21" s="37">
        <f>IFERROR(EDATE(Tabelle13[[#This Row],[Vertragsende]], -Tabelle13[[#This Row],[Vorlauf]]) + 1,"")</f>
        <v>45214</v>
      </c>
      <c r="AC21" s="37">
        <f>IFERROR(EDATE(Tabelle13[[#This Row],[Vertragsende]], -Tabelle13[[#This Row],[Vorlauf]] - 1) + 1,"")</f>
        <v>45184</v>
      </c>
    </row>
    <row r="22" spans="1:29" x14ac:dyDescent="0.25">
      <c r="A22" s="35">
        <f t="shared" si="1"/>
        <v>19</v>
      </c>
      <c r="B22" s="16" t="s">
        <v>153</v>
      </c>
      <c r="C22" s="16" t="s">
        <v>154</v>
      </c>
      <c r="D22" s="16" t="s">
        <v>65</v>
      </c>
      <c r="E22" s="16" t="s">
        <v>66</v>
      </c>
      <c r="F22" s="16" t="s">
        <v>67</v>
      </c>
      <c r="G22" s="18"/>
      <c r="H22" s="18"/>
      <c r="I22" s="32">
        <v>45396</v>
      </c>
      <c r="J22" s="32">
        <v>45214</v>
      </c>
      <c r="K22" s="32">
        <v>45170</v>
      </c>
      <c r="L22" s="16"/>
      <c r="M22" s="16"/>
      <c r="N22" s="18" t="s">
        <v>313</v>
      </c>
      <c r="O22" s="22" t="s">
        <v>328</v>
      </c>
      <c r="P22" s="22" t="s">
        <v>69</v>
      </c>
      <c r="Q22" s="22"/>
      <c r="R22" s="22"/>
      <c r="S22" s="22"/>
      <c r="T22" s="22"/>
      <c r="U22" s="33">
        <v>45248</v>
      </c>
      <c r="V22" s="19" t="s">
        <v>161</v>
      </c>
      <c r="W22" s="19"/>
      <c r="X22" s="20"/>
      <c r="Y22" s="19"/>
      <c r="Z22" s="21">
        <v>165</v>
      </c>
      <c r="AA22" s="36" cm="1">
        <f t="array" ref="AA22">Vorlauf(Tabelle13[[#This Row],[Anbieter]])</f>
        <v>6</v>
      </c>
      <c r="AB22" s="37">
        <f>IFERROR(EDATE(Tabelle13[[#This Row],[Vertragsende]], -Tabelle13[[#This Row],[Vorlauf]]) + 1,"")</f>
        <v>45214</v>
      </c>
      <c r="AC22" s="37">
        <f>IFERROR(EDATE(Tabelle13[[#This Row],[Vertragsende]], -Tabelle13[[#This Row],[Vorlauf]] - 1) + 1,"")</f>
        <v>45184</v>
      </c>
    </row>
    <row r="23" spans="1:29" x14ac:dyDescent="0.25">
      <c r="A23" s="35">
        <f t="shared" si="1"/>
        <v>20</v>
      </c>
      <c r="B23" s="16" t="s">
        <v>155</v>
      </c>
      <c r="C23" s="16" t="s">
        <v>156</v>
      </c>
      <c r="D23" s="16" t="s">
        <v>65</v>
      </c>
      <c r="E23" s="16" t="s">
        <v>66</v>
      </c>
      <c r="F23" s="16" t="s">
        <v>67</v>
      </c>
      <c r="G23" s="18"/>
      <c r="H23" s="18"/>
      <c r="I23" s="32">
        <v>45396</v>
      </c>
      <c r="J23" s="32">
        <v>45214</v>
      </c>
      <c r="K23" s="32">
        <v>45170</v>
      </c>
      <c r="L23" s="16"/>
      <c r="M23" s="16"/>
      <c r="N23" s="18" t="s">
        <v>313</v>
      </c>
      <c r="O23" s="22" t="s">
        <v>328</v>
      </c>
      <c r="P23" s="22" t="s">
        <v>69</v>
      </c>
      <c r="Q23" s="22"/>
      <c r="R23" s="22"/>
      <c r="S23" s="22"/>
      <c r="T23" s="22"/>
      <c r="U23" s="33">
        <v>45248</v>
      </c>
      <c r="V23" s="19" t="s">
        <v>161</v>
      </c>
      <c r="W23" s="19"/>
      <c r="X23" s="20"/>
      <c r="Y23" s="19"/>
      <c r="Z23" s="21">
        <v>165</v>
      </c>
      <c r="AA23" s="36" cm="1">
        <f t="array" ref="AA23">Vorlauf(Tabelle13[[#This Row],[Anbieter]])</f>
        <v>6</v>
      </c>
      <c r="AB23" s="37">
        <f>IFERROR(EDATE(Tabelle13[[#This Row],[Vertragsende]], -Tabelle13[[#This Row],[Vorlauf]]) + 1,"")</f>
        <v>45214</v>
      </c>
      <c r="AC23" s="37">
        <f>IFERROR(EDATE(Tabelle13[[#This Row],[Vertragsende]], -Tabelle13[[#This Row],[Vorlauf]] - 1) + 1,"")</f>
        <v>45184</v>
      </c>
    </row>
    <row r="24" spans="1:29" x14ac:dyDescent="0.25">
      <c r="A24" s="35">
        <f t="shared" si="1"/>
        <v>21</v>
      </c>
      <c r="B24" s="16" t="s">
        <v>157</v>
      </c>
      <c r="C24" s="16" t="s">
        <v>158</v>
      </c>
      <c r="D24" s="16" t="s">
        <v>65</v>
      </c>
      <c r="E24" s="16" t="s">
        <v>66</v>
      </c>
      <c r="F24" s="16" t="s">
        <v>67</v>
      </c>
      <c r="G24" s="18"/>
      <c r="H24" s="18"/>
      <c r="I24" s="32">
        <v>45396</v>
      </c>
      <c r="J24" s="32">
        <v>45214</v>
      </c>
      <c r="K24" s="32">
        <v>45170</v>
      </c>
      <c r="L24" s="16"/>
      <c r="M24" s="16"/>
      <c r="N24" s="18" t="s">
        <v>313</v>
      </c>
      <c r="O24" s="22" t="s">
        <v>328</v>
      </c>
      <c r="P24" s="22" t="s">
        <v>69</v>
      </c>
      <c r="Q24" s="22"/>
      <c r="R24" s="22"/>
      <c r="S24" s="22"/>
      <c r="T24" s="22"/>
      <c r="U24" s="33">
        <v>45248</v>
      </c>
      <c r="V24" s="19" t="s">
        <v>161</v>
      </c>
      <c r="W24" s="19"/>
      <c r="X24" s="20"/>
      <c r="Y24" s="19"/>
      <c r="Z24" s="21">
        <v>165</v>
      </c>
      <c r="AA24" s="36" cm="1">
        <f t="array" ref="AA24">Vorlauf(Tabelle13[[#This Row],[Anbieter]])</f>
        <v>6</v>
      </c>
      <c r="AB24" s="37">
        <f>IFERROR(EDATE(Tabelle13[[#This Row],[Vertragsende]], -Tabelle13[[#This Row],[Vorlauf]]) + 1,"")</f>
        <v>45214</v>
      </c>
      <c r="AC24" s="37">
        <f>IFERROR(EDATE(Tabelle13[[#This Row],[Vertragsende]], -Tabelle13[[#This Row],[Vorlauf]] - 1) + 1,"")</f>
        <v>45184</v>
      </c>
    </row>
    <row r="25" spans="1:29" x14ac:dyDescent="0.25">
      <c r="A25" s="35">
        <f t="shared" si="1"/>
        <v>22</v>
      </c>
      <c r="B25" s="16" t="s">
        <v>159</v>
      </c>
      <c r="C25" s="16" t="s">
        <v>160</v>
      </c>
      <c r="D25" s="16" t="s">
        <v>65</v>
      </c>
      <c r="E25" s="16" t="s">
        <v>66</v>
      </c>
      <c r="F25" s="16" t="s">
        <v>67</v>
      </c>
      <c r="G25" s="18"/>
      <c r="H25" s="18"/>
      <c r="I25" s="32">
        <v>45396</v>
      </c>
      <c r="J25" s="32">
        <v>45214</v>
      </c>
      <c r="K25" s="32">
        <v>45170</v>
      </c>
      <c r="L25" s="16"/>
      <c r="M25" s="16"/>
      <c r="N25" s="18" t="s">
        <v>313</v>
      </c>
      <c r="O25" s="22" t="s">
        <v>328</v>
      </c>
      <c r="P25" s="22" t="s">
        <v>161</v>
      </c>
      <c r="Q25" s="22"/>
      <c r="R25" s="22"/>
      <c r="S25" s="22"/>
      <c r="T25" s="22"/>
      <c r="U25" s="33">
        <v>45248</v>
      </c>
      <c r="V25" s="19" t="s">
        <v>161</v>
      </c>
      <c r="W25" s="19"/>
      <c r="X25" s="20"/>
      <c r="Y25" s="19"/>
      <c r="Z25" s="21">
        <v>165</v>
      </c>
      <c r="AA25" s="36" cm="1">
        <f t="array" ref="AA25">Vorlauf(Tabelle13[[#This Row],[Anbieter]])</f>
        <v>6</v>
      </c>
      <c r="AB25" s="37">
        <f>IFERROR(EDATE(Tabelle13[[#This Row],[Vertragsende]], -Tabelle13[[#This Row],[Vorlauf]]) + 1,"")</f>
        <v>45214</v>
      </c>
      <c r="AC25" s="37">
        <f>IFERROR(EDATE(Tabelle13[[#This Row],[Vertragsende]], -Tabelle13[[#This Row],[Vorlauf]] - 1) + 1,"")</f>
        <v>45184</v>
      </c>
    </row>
    <row r="26" spans="1:29" x14ac:dyDescent="0.25">
      <c r="A26" s="35">
        <f t="shared" si="1"/>
        <v>23</v>
      </c>
      <c r="B26" s="16" t="s">
        <v>162</v>
      </c>
      <c r="C26" s="16" t="s">
        <v>163</v>
      </c>
      <c r="D26" s="16" t="s">
        <v>65</v>
      </c>
      <c r="E26" s="16" t="s">
        <v>66</v>
      </c>
      <c r="F26" s="16" t="s">
        <v>67</v>
      </c>
      <c r="G26" s="18"/>
      <c r="H26" s="18"/>
      <c r="I26" s="32">
        <v>45396</v>
      </c>
      <c r="J26" s="32">
        <v>45214</v>
      </c>
      <c r="K26" s="32">
        <v>45170</v>
      </c>
      <c r="L26" s="16"/>
      <c r="M26" s="16"/>
      <c r="N26" s="18" t="s">
        <v>313</v>
      </c>
      <c r="O26" s="22" t="s">
        <v>328</v>
      </c>
      <c r="P26" s="22" t="s">
        <v>161</v>
      </c>
      <c r="Q26" s="22"/>
      <c r="R26" s="22"/>
      <c r="S26" s="22"/>
      <c r="T26" s="22"/>
      <c r="U26" s="33">
        <v>45248</v>
      </c>
      <c r="V26" s="19" t="s">
        <v>161</v>
      </c>
      <c r="W26" s="19"/>
      <c r="X26" s="20"/>
      <c r="Y26" s="19"/>
      <c r="Z26" s="21">
        <v>165</v>
      </c>
      <c r="AA26" s="36" cm="1">
        <f t="array" ref="AA26">Vorlauf(Tabelle13[[#This Row],[Anbieter]])</f>
        <v>6</v>
      </c>
      <c r="AB26" s="37">
        <f>IFERROR(EDATE(Tabelle13[[#This Row],[Vertragsende]], -Tabelle13[[#This Row],[Vorlauf]]) + 1,"")</f>
        <v>45214</v>
      </c>
      <c r="AC26" s="37">
        <f>IFERROR(EDATE(Tabelle13[[#This Row],[Vertragsende]], -Tabelle13[[#This Row],[Vorlauf]] - 1) + 1,"")</f>
        <v>45184</v>
      </c>
    </row>
    <row r="27" spans="1:29" x14ac:dyDescent="0.25">
      <c r="A27" s="35">
        <f t="shared" si="1"/>
        <v>24</v>
      </c>
      <c r="B27" s="16" t="s">
        <v>164</v>
      </c>
      <c r="C27" s="16" t="s">
        <v>165</v>
      </c>
      <c r="D27" s="16" t="s">
        <v>65</v>
      </c>
      <c r="E27" s="16" t="s">
        <v>66</v>
      </c>
      <c r="F27" s="16" t="s">
        <v>67</v>
      </c>
      <c r="G27" s="18"/>
      <c r="H27" s="18"/>
      <c r="I27" s="32">
        <v>45396</v>
      </c>
      <c r="J27" s="32">
        <v>45214</v>
      </c>
      <c r="K27" s="32">
        <v>45170</v>
      </c>
      <c r="L27" s="16"/>
      <c r="M27" s="16"/>
      <c r="N27" s="18" t="s">
        <v>313</v>
      </c>
      <c r="O27" s="22" t="s">
        <v>328</v>
      </c>
      <c r="P27" s="22" t="s">
        <v>69</v>
      </c>
      <c r="Q27" s="22"/>
      <c r="R27" s="22"/>
      <c r="S27" s="22"/>
      <c r="T27" s="22"/>
      <c r="U27" s="33">
        <v>45248</v>
      </c>
      <c r="V27" s="19" t="s">
        <v>161</v>
      </c>
      <c r="W27" s="19"/>
      <c r="X27" s="20"/>
      <c r="Y27" s="19"/>
      <c r="Z27" s="21">
        <v>165</v>
      </c>
      <c r="AA27" s="36" cm="1">
        <f t="array" ref="AA27">Vorlauf(Tabelle13[[#This Row],[Anbieter]])</f>
        <v>6</v>
      </c>
      <c r="AB27" s="37">
        <f>IFERROR(EDATE(Tabelle13[[#This Row],[Vertragsende]], -Tabelle13[[#This Row],[Vorlauf]]) + 1,"")</f>
        <v>45214</v>
      </c>
      <c r="AC27" s="37">
        <f>IFERROR(EDATE(Tabelle13[[#This Row],[Vertragsende]], -Tabelle13[[#This Row],[Vorlauf]] - 1) + 1,"")</f>
        <v>45184</v>
      </c>
    </row>
    <row r="28" spans="1:29" x14ac:dyDescent="0.25">
      <c r="A28" s="35">
        <f t="shared" si="1"/>
        <v>25</v>
      </c>
      <c r="B28" s="16" t="s">
        <v>166</v>
      </c>
      <c r="C28" s="16" t="s">
        <v>167</v>
      </c>
      <c r="D28" s="16" t="s">
        <v>65</v>
      </c>
      <c r="E28" s="16" t="s">
        <v>66</v>
      </c>
      <c r="F28" s="16" t="s">
        <v>67</v>
      </c>
      <c r="G28" s="18"/>
      <c r="H28" s="18"/>
      <c r="I28" s="32">
        <v>45396</v>
      </c>
      <c r="J28" s="32">
        <v>45214</v>
      </c>
      <c r="K28" s="32">
        <v>45170</v>
      </c>
      <c r="L28" s="16"/>
      <c r="M28" s="16"/>
      <c r="N28" s="18" t="s">
        <v>313</v>
      </c>
      <c r="O28" s="22" t="s">
        <v>328</v>
      </c>
      <c r="P28" s="22" t="s">
        <v>161</v>
      </c>
      <c r="Q28" s="22"/>
      <c r="R28" s="22"/>
      <c r="S28" s="22"/>
      <c r="T28" s="22"/>
      <c r="U28" s="33">
        <v>45248</v>
      </c>
      <c r="V28" s="19" t="s">
        <v>161</v>
      </c>
      <c r="W28" s="19"/>
      <c r="X28" s="20"/>
      <c r="Y28" s="19"/>
      <c r="Z28" s="21">
        <v>165</v>
      </c>
      <c r="AA28" s="36" cm="1">
        <f t="array" ref="AA28">Vorlauf(Tabelle13[[#This Row],[Anbieter]])</f>
        <v>6</v>
      </c>
      <c r="AB28" s="37">
        <f>IFERROR(EDATE(Tabelle13[[#This Row],[Vertragsende]], -Tabelle13[[#This Row],[Vorlauf]]) + 1,"")</f>
        <v>45214</v>
      </c>
      <c r="AC28" s="37">
        <f>IFERROR(EDATE(Tabelle13[[#This Row],[Vertragsende]], -Tabelle13[[#This Row],[Vorlauf]] - 1) + 1,"")</f>
        <v>45184</v>
      </c>
    </row>
    <row r="29" spans="1:29" x14ac:dyDescent="0.25">
      <c r="A29" s="35">
        <f t="shared" si="1"/>
        <v>26</v>
      </c>
      <c r="B29" s="16" t="s">
        <v>168</v>
      </c>
      <c r="C29" s="16" t="s">
        <v>169</v>
      </c>
      <c r="D29" s="16" t="s">
        <v>65</v>
      </c>
      <c r="E29" s="16" t="s">
        <v>66</v>
      </c>
      <c r="F29" s="16" t="s">
        <v>67</v>
      </c>
      <c r="G29" s="18"/>
      <c r="H29" s="18"/>
      <c r="I29" s="32">
        <v>45396</v>
      </c>
      <c r="J29" s="32">
        <v>45214</v>
      </c>
      <c r="K29" s="32">
        <v>45170</v>
      </c>
      <c r="L29" s="16"/>
      <c r="M29" s="16"/>
      <c r="N29" s="18" t="s">
        <v>313</v>
      </c>
      <c r="O29" s="22" t="s">
        <v>328</v>
      </c>
      <c r="P29" s="22" t="s">
        <v>69</v>
      </c>
      <c r="Q29" s="22"/>
      <c r="R29" s="22"/>
      <c r="S29" s="22"/>
      <c r="T29" s="22"/>
      <c r="U29" s="33">
        <v>45248</v>
      </c>
      <c r="V29" s="19" t="s">
        <v>161</v>
      </c>
      <c r="W29" s="19"/>
      <c r="X29" s="20"/>
      <c r="Y29" s="19"/>
      <c r="Z29" s="21">
        <v>165</v>
      </c>
      <c r="AA29" s="36" cm="1">
        <f t="array" ref="AA29">Vorlauf(Tabelle13[[#This Row],[Anbieter]])</f>
        <v>6</v>
      </c>
      <c r="AB29" s="37">
        <f>IFERROR(EDATE(Tabelle13[[#This Row],[Vertragsende]], -Tabelle13[[#This Row],[Vorlauf]]) + 1,"")</f>
        <v>45214</v>
      </c>
      <c r="AC29" s="37">
        <f>IFERROR(EDATE(Tabelle13[[#This Row],[Vertragsende]], -Tabelle13[[#This Row],[Vorlauf]] - 1) + 1,"")</f>
        <v>45184</v>
      </c>
    </row>
    <row r="30" spans="1:29" x14ac:dyDescent="0.25">
      <c r="A30" s="35">
        <f t="shared" si="1"/>
        <v>27</v>
      </c>
      <c r="B30" s="16" t="s">
        <v>170</v>
      </c>
      <c r="C30" s="16" t="s">
        <v>171</v>
      </c>
      <c r="D30" s="16" t="s">
        <v>65</v>
      </c>
      <c r="E30" s="16" t="s">
        <v>66</v>
      </c>
      <c r="F30" s="16" t="s">
        <v>67</v>
      </c>
      <c r="G30" s="18"/>
      <c r="H30" s="18"/>
      <c r="I30" s="32">
        <v>45396</v>
      </c>
      <c r="J30" s="32">
        <v>45214</v>
      </c>
      <c r="K30" s="32">
        <v>45170</v>
      </c>
      <c r="L30" s="16"/>
      <c r="M30" s="16"/>
      <c r="N30" s="18" t="s">
        <v>313</v>
      </c>
      <c r="O30" s="22" t="s">
        <v>328</v>
      </c>
      <c r="P30" s="22" t="s">
        <v>161</v>
      </c>
      <c r="Q30" s="22"/>
      <c r="R30" s="22"/>
      <c r="S30" s="22"/>
      <c r="T30" s="22"/>
      <c r="U30" s="33">
        <v>45248</v>
      </c>
      <c r="V30" s="19" t="s">
        <v>161</v>
      </c>
      <c r="W30" s="19"/>
      <c r="X30" s="20"/>
      <c r="Y30" s="19"/>
      <c r="Z30" s="21">
        <v>165</v>
      </c>
      <c r="AA30" s="36" cm="1">
        <f t="array" ref="AA30">Vorlauf(Tabelle13[[#This Row],[Anbieter]])</f>
        <v>6</v>
      </c>
      <c r="AB30" s="37">
        <f>IFERROR(EDATE(Tabelle13[[#This Row],[Vertragsende]], -Tabelle13[[#This Row],[Vorlauf]]) + 1,"")</f>
        <v>45214</v>
      </c>
      <c r="AC30" s="37">
        <f>IFERROR(EDATE(Tabelle13[[#This Row],[Vertragsende]], -Tabelle13[[#This Row],[Vorlauf]] - 1) + 1,"")</f>
        <v>45184</v>
      </c>
    </row>
    <row r="31" spans="1:29" x14ac:dyDescent="0.25">
      <c r="A31" s="35">
        <f t="shared" si="1"/>
        <v>28</v>
      </c>
      <c r="B31" s="16" t="s">
        <v>172</v>
      </c>
      <c r="C31" s="16" t="s">
        <v>331</v>
      </c>
      <c r="D31" s="16" t="s">
        <v>65</v>
      </c>
      <c r="E31" s="16" t="s">
        <v>66</v>
      </c>
      <c r="F31" s="16" t="s">
        <v>67</v>
      </c>
      <c r="G31" s="18"/>
      <c r="H31" s="18"/>
      <c r="I31" s="32">
        <v>45396</v>
      </c>
      <c r="J31" s="32">
        <v>45214</v>
      </c>
      <c r="K31" s="32">
        <v>45170</v>
      </c>
      <c r="L31" s="16"/>
      <c r="M31" s="16"/>
      <c r="N31" s="18" t="s">
        <v>313</v>
      </c>
      <c r="O31" s="22" t="s">
        <v>328</v>
      </c>
      <c r="P31" s="22" t="s">
        <v>69</v>
      </c>
      <c r="Q31" s="22"/>
      <c r="R31" s="22"/>
      <c r="S31" s="22"/>
      <c r="T31" s="22"/>
      <c r="U31" s="33">
        <v>45248</v>
      </c>
      <c r="V31" s="19" t="s">
        <v>161</v>
      </c>
      <c r="W31" s="19"/>
      <c r="X31" s="20"/>
      <c r="Y31" s="19"/>
      <c r="Z31" s="21">
        <v>165</v>
      </c>
      <c r="AA31" s="36" cm="1">
        <f t="array" ref="AA31">Vorlauf(Tabelle13[[#This Row],[Anbieter]])</f>
        <v>6</v>
      </c>
      <c r="AB31" s="37">
        <f>IFERROR(EDATE(Tabelle13[[#This Row],[Vertragsende]], -Tabelle13[[#This Row],[Vorlauf]]) + 1,"")</f>
        <v>45214</v>
      </c>
      <c r="AC31" s="37">
        <f>IFERROR(EDATE(Tabelle13[[#This Row],[Vertragsende]], -Tabelle13[[#This Row],[Vorlauf]] - 1) + 1,"")</f>
        <v>45184</v>
      </c>
    </row>
    <row r="32" spans="1:29" x14ac:dyDescent="0.25">
      <c r="A32" s="35">
        <f t="shared" si="1"/>
        <v>29</v>
      </c>
      <c r="B32" s="16" t="s">
        <v>174</v>
      </c>
      <c r="C32" s="16" t="s">
        <v>175</v>
      </c>
      <c r="D32" s="16" t="s">
        <v>65</v>
      </c>
      <c r="E32" s="16" t="s">
        <v>66</v>
      </c>
      <c r="F32" s="16" t="s">
        <v>67</v>
      </c>
      <c r="G32" s="18"/>
      <c r="H32" s="18"/>
      <c r="I32" s="32">
        <v>45396</v>
      </c>
      <c r="J32" s="32">
        <v>45214</v>
      </c>
      <c r="K32" s="32">
        <v>45170</v>
      </c>
      <c r="L32" s="16"/>
      <c r="M32" s="16"/>
      <c r="N32" s="18" t="s">
        <v>313</v>
      </c>
      <c r="O32" s="22" t="s">
        <v>328</v>
      </c>
      <c r="P32" s="22" t="s">
        <v>69</v>
      </c>
      <c r="Q32" s="22"/>
      <c r="R32" s="22"/>
      <c r="S32" s="22"/>
      <c r="T32" s="22"/>
      <c r="U32" s="33">
        <v>45248</v>
      </c>
      <c r="V32" s="19" t="s">
        <v>161</v>
      </c>
      <c r="W32" s="19"/>
      <c r="X32" s="20"/>
      <c r="Y32" s="19"/>
      <c r="Z32" s="21">
        <v>165</v>
      </c>
      <c r="AA32" s="36" cm="1">
        <f t="array" ref="AA32">Vorlauf(Tabelle13[[#This Row],[Anbieter]])</f>
        <v>6</v>
      </c>
      <c r="AB32" s="37">
        <f>IFERROR(EDATE(Tabelle13[[#This Row],[Vertragsende]], -Tabelle13[[#This Row],[Vorlauf]]) + 1,"")</f>
        <v>45214</v>
      </c>
      <c r="AC32" s="37">
        <f>IFERROR(EDATE(Tabelle13[[#This Row],[Vertragsende]], -Tabelle13[[#This Row],[Vorlauf]] - 1) + 1,"")</f>
        <v>45184</v>
      </c>
    </row>
    <row r="33" spans="1:29" x14ac:dyDescent="0.25">
      <c r="A33" s="35">
        <f t="shared" si="1"/>
        <v>30</v>
      </c>
      <c r="B33" s="16" t="s">
        <v>176</v>
      </c>
      <c r="C33" s="16" t="s">
        <v>177</v>
      </c>
      <c r="D33" s="16" t="s">
        <v>65</v>
      </c>
      <c r="E33" s="16" t="s">
        <v>66</v>
      </c>
      <c r="F33" s="16" t="s">
        <v>67</v>
      </c>
      <c r="G33" s="18"/>
      <c r="H33" s="18"/>
      <c r="I33" s="32">
        <v>45396</v>
      </c>
      <c r="J33" s="32">
        <v>45214</v>
      </c>
      <c r="K33" s="32">
        <v>45170</v>
      </c>
      <c r="L33" s="16"/>
      <c r="M33" s="16"/>
      <c r="N33" s="18" t="s">
        <v>313</v>
      </c>
      <c r="O33" s="22" t="s">
        <v>328</v>
      </c>
      <c r="P33" s="22" t="s">
        <v>69</v>
      </c>
      <c r="Q33" s="22"/>
      <c r="R33" s="22"/>
      <c r="S33" s="22"/>
      <c r="T33" s="22"/>
      <c r="U33" s="33">
        <v>45248</v>
      </c>
      <c r="V33" s="19" t="s">
        <v>161</v>
      </c>
      <c r="W33" s="19"/>
      <c r="X33" s="20"/>
      <c r="Y33" s="19"/>
      <c r="Z33" s="21">
        <v>165</v>
      </c>
      <c r="AA33" s="36" cm="1">
        <f t="array" ref="AA33">Vorlauf(Tabelle13[[#This Row],[Anbieter]])</f>
        <v>6</v>
      </c>
      <c r="AB33" s="37">
        <f>IFERROR(EDATE(Tabelle13[[#This Row],[Vertragsende]], -Tabelle13[[#This Row],[Vorlauf]]) + 1,"")</f>
        <v>45214</v>
      </c>
      <c r="AC33" s="37">
        <f>IFERROR(EDATE(Tabelle13[[#This Row],[Vertragsende]], -Tabelle13[[#This Row],[Vorlauf]] - 1) + 1,"")</f>
        <v>45184</v>
      </c>
    </row>
    <row r="34" spans="1:29" x14ac:dyDescent="0.25">
      <c r="A34" s="35">
        <f t="shared" si="1"/>
        <v>31</v>
      </c>
      <c r="B34" s="16" t="s">
        <v>178</v>
      </c>
      <c r="C34" s="16" t="s">
        <v>179</v>
      </c>
      <c r="D34" s="16" t="s">
        <v>65</v>
      </c>
      <c r="E34" s="16" t="s">
        <v>66</v>
      </c>
      <c r="F34" s="16" t="s">
        <v>67</v>
      </c>
      <c r="G34" s="18"/>
      <c r="H34" s="18"/>
      <c r="I34" s="32">
        <v>45396</v>
      </c>
      <c r="J34" s="32">
        <v>45214</v>
      </c>
      <c r="K34" s="32">
        <v>45170</v>
      </c>
      <c r="L34" s="16"/>
      <c r="M34" s="16"/>
      <c r="N34" s="18" t="s">
        <v>313</v>
      </c>
      <c r="O34" s="22" t="s">
        <v>328</v>
      </c>
      <c r="P34" s="22" t="s">
        <v>69</v>
      </c>
      <c r="Q34" s="22"/>
      <c r="R34" s="22"/>
      <c r="S34" s="22"/>
      <c r="T34" s="22"/>
      <c r="U34" s="33">
        <v>45248</v>
      </c>
      <c r="V34" s="19" t="s">
        <v>161</v>
      </c>
      <c r="W34" s="19"/>
      <c r="X34" s="20"/>
      <c r="Y34" s="19"/>
      <c r="Z34" s="21">
        <v>165</v>
      </c>
      <c r="AA34" s="36" cm="1">
        <f t="array" ref="AA34">Vorlauf(Tabelle13[[#This Row],[Anbieter]])</f>
        <v>6</v>
      </c>
      <c r="AB34" s="37">
        <f>IFERROR(EDATE(Tabelle13[[#This Row],[Vertragsende]], -Tabelle13[[#This Row],[Vorlauf]]) + 1,"")</f>
        <v>45214</v>
      </c>
      <c r="AC34" s="37">
        <f>IFERROR(EDATE(Tabelle13[[#This Row],[Vertragsende]], -Tabelle13[[#This Row],[Vorlauf]] - 1) + 1,"")</f>
        <v>45184</v>
      </c>
    </row>
    <row r="35" spans="1:29" x14ac:dyDescent="0.25">
      <c r="A35" s="35">
        <f t="shared" si="1"/>
        <v>32</v>
      </c>
      <c r="B35" s="16" t="s">
        <v>180</v>
      </c>
      <c r="C35" s="16" t="s">
        <v>181</v>
      </c>
      <c r="D35" s="16" t="s">
        <v>65</v>
      </c>
      <c r="E35" s="16" t="s">
        <v>66</v>
      </c>
      <c r="F35" s="16" t="s">
        <v>67</v>
      </c>
      <c r="G35" s="18"/>
      <c r="H35" s="18"/>
      <c r="I35" s="32">
        <v>45396</v>
      </c>
      <c r="J35" s="32">
        <v>45214</v>
      </c>
      <c r="K35" s="32">
        <v>45170</v>
      </c>
      <c r="L35" s="16"/>
      <c r="M35" s="16"/>
      <c r="N35" s="18" t="s">
        <v>313</v>
      </c>
      <c r="O35" s="22" t="s">
        <v>328</v>
      </c>
      <c r="P35" s="22" t="s">
        <v>161</v>
      </c>
      <c r="Q35" s="22"/>
      <c r="R35" s="22"/>
      <c r="S35" s="22"/>
      <c r="T35" s="22"/>
      <c r="U35" s="33">
        <v>45248</v>
      </c>
      <c r="V35" s="19" t="s">
        <v>161</v>
      </c>
      <c r="W35" s="19"/>
      <c r="X35" s="20"/>
      <c r="Y35" s="19"/>
      <c r="Z35" s="21">
        <v>165</v>
      </c>
      <c r="AA35" s="36" cm="1">
        <f t="array" ref="AA35">Vorlauf(Tabelle13[[#This Row],[Anbieter]])</f>
        <v>6</v>
      </c>
      <c r="AB35" s="37">
        <f>IFERROR(EDATE(Tabelle13[[#This Row],[Vertragsende]], -Tabelle13[[#This Row],[Vorlauf]]) + 1,"")</f>
        <v>45214</v>
      </c>
      <c r="AC35" s="37">
        <f>IFERROR(EDATE(Tabelle13[[#This Row],[Vertragsende]], -Tabelle13[[#This Row],[Vorlauf]] - 1) + 1,"")</f>
        <v>45184</v>
      </c>
    </row>
    <row r="36" spans="1:29" x14ac:dyDescent="0.25">
      <c r="A36" s="35">
        <f t="shared" si="1"/>
        <v>33</v>
      </c>
      <c r="B36" s="16" t="s">
        <v>182</v>
      </c>
      <c r="C36" s="16" t="s">
        <v>183</v>
      </c>
      <c r="D36" s="16" t="s">
        <v>65</v>
      </c>
      <c r="E36" s="16" t="s">
        <v>66</v>
      </c>
      <c r="F36" s="16" t="s">
        <v>67</v>
      </c>
      <c r="G36" s="18"/>
      <c r="H36" s="18"/>
      <c r="I36" s="32">
        <v>45396</v>
      </c>
      <c r="J36" s="32">
        <v>45214</v>
      </c>
      <c r="K36" s="32">
        <v>45170</v>
      </c>
      <c r="L36" s="16"/>
      <c r="M36" s="16"/>
      <c r="N36" s="18" t="s">
        <v>313</v>
      </c>
      <c r="O36" s="22" t="s">
        <v>328</v>
      </c>
      <c r="P36" s="22" t="s">
        <v>69</v>
      </c>
      <c r="Q36" s="22"/>
      <c r="R36" s="22"/>
      <c r="S36" s="22"/>
      <c r="T36" s="22"/>
      <c r="U36" s="33">
        <v>45248</v>
      </c>
      <c r="V36" s="19" t="s">
        <v>161</v>
      </c>
      <c r="W36" s="19"/>
      <c r="X36" s="20"/>
      <c r="Y36" s="19"/>
      <c r="Z36" s="21">
        <v>165</v>
      </c>
      <c r="AA36" s="36" cm="1">
        <f t="array" ref="AA36">Vorlauf(Tabelle13[[#This Row],[Anbieter]])</f>
        <v>6</v>
      </c>
      <c r="AB36" s="37">
        <f>IFERROR(EDATE(Tabelle13[[#This Row],[Vertragsende]], -Tabelle13[[#This Row],[Vorlauf]]) + 1,"")</f>
        <v>45214</v>
      </c>
      <c r="AC36" s="37">
        <f>IFERROR(EDATE(Tabelle13[[#This Row],[Vertragsende]], -Tabelle13[[#This Row],[Vorlauf]] - 1) + 1,"")</f>
        <v>45184</v>
      </c>
    </row>
    <row r="37" spans="1:29" x14ac:dyDescent="0.25">
      <c r="A37" s="35">
        <f t="shared" si="1"/>
        <v>34</v>
      </c>
      <c r="B37" s="16" t="s">
        <v>184</v>
      </c>
      <c r="C37" s="16" t="s">
        <v>185</v>
      </c>
      <c r="D37" s="16" t="s">
        <v>65</v>
      </c>
      <c r="E37" s="16" t="s">
        <v>66</v>
      </c>
      <c r="F37" s="16" t="s">
        <v>67</v>
      </c>
      <c r="G37" s="18"/>
      <c r="H37" s="18"/>
      <c r="I37" s="32">
        <v>45396</v>
      </c>
      <c r="J37" s="32">
        <v>45214</v>
      </c>
      <c r="K37" s="32">
        <v>45170</v>
      </c>
      <c r="L37" s="16"/>
      <c r="M37" s="16"/>
      <c r="N37" s="18" t="s">
        <v>313</v>
      </c>
      <c r="O37" s="22" t="s">
        <v>328</v>
      </c>
      <c r="P37" s="22" t="s">
        <v>69</v>
      </c>
      <c r="Q37" s="22"/>
      <c r="R37" s="22"/>
      <c r="S37" s="22"/>
      <c r="T37" s="22"/>
      <c r="U37" s="33">
        <v>45248</v>
      </c>
      <c r="V37" s="19" t="s">
        <v>161</v>
      </c>
      <c r="W37" s="19"/>
      <c r="X37" s="20"/>
      <c r="Y37" s="19"/>
      <c r="Z37" s="21">
        <v>165</v>
      </c>
      <c r="AA37" s="36" cm="1">
        <f t="array" ref="AA37">Vorlauf(Tabelle13[[#This Row],[Anbieter]])</f>
        <v>6</v>
      </c>
      <c r="AB37" s="37">
        <f>IFERROR(EDATE(Tabelle13[[#This Row],[Vertragsende]], -Tabelle13[[#This Row],[Vorlauf]]) + 1,"")</f>
        <v>45214</v>
      </c>
      <c r="AC37" s="37">
        <f>IFERROR(EDATE(Tabelle13[[#This Row],[Vertragsende]], -Tabelle13[[#This Row],[Vorlauf]] - 1) + 1,"")</f>
        <v>45184</v>
      </c>
    </row>
    <row r="38" spans="1:29" x14ac:dyDescent="0.25">
      <c r="A38" s="35">
        <f t="shared" ref="A38:A69" si="2">ROW()-3</f>
        <v>35</v>
      </c>
      <c r="B38" s="16" t="s">
        <v>186</v>
      </c>
      <c r="C38" s="16" t="s">
        <v>187</v>
      </c>
      <c r="D38" s="16" t="s">
        <v>65</v>
      </c>
      <c r="E38" s="16" t="s">
        <v>66</v>
      </c>
      <c r="F38" s="16" t="s">
        <v>67</v>
      </c>
      <c r="G38" s="18"/>
      <c r="H38" s="18"/>
      <c r="I38" s="32">
        <v>45396</v>
      </c>
      <c r="J38" s="32">
        <v>45214</v>
      </c>
      <c r="K38" s="32">
        <v>45170</v>
      </c>
      <c r="L38" s="16"/>
      <c r="M38" s="16"/>
      <c r="N38" s="18" t="s">
        <v>313</v>
      </c>
      <c r="O38" s="22" t="s">
        <v>328</v>
      </c>
      <c r="P38" s="22" t="s">
        <v>69</v>
      </c>
      <c r="Q38" s="22"/>
      <c r="R38" s="22"/>
      <c r="S38" s="22"/>
      <c r="T38" s="22"/>
      <c r="U38" s="33">
        <v>45248</v>
      </c>
      <c r="V38" s="19" t="s">
        <v>161</v>
      </c>
      <c r="W38" s="19"/>
      <c r="X38" s="20"/>
      <c r="Y38" s="19"/>
      <c r="Z38" s="21">
        <v>165</v>
      </c>
      <c r="AA38" s="36" cm="1">
        <f t="array" ref="AA38">Vorlauf(Tabelle13[[#This Row],[Anbieter]])</f>
        <v>6</v>
      </c>
      <c r="AB38" s="37">
        <f>IFERROR(EDATE(Tabelle13[[#This Row],[Vertragsende]], -Tabelle13[[#This Row],[Vorlauf]]) + 1,"")</f>
        <v>45214</v>
      </c>
      <c r="AC38" s="37">
        <f>IFERROR(EDATE(Tabelle13[[#This Row],[Vertragsende]], -Tabelle13[[#This Row],[Vorlauf]] - 1) + 1,"")</f>
        <v>45184</v>
      </c>
    </row>
    <row r="39" spans="1:29" x14ac:dyDescent="0.25">
      <c r="A39" s="35">
        <f t="shared" si="2"/>
        <v>36</v>
      </c>
      <c r="B39" s="16" t="s">
        <v>188</v>
      </c>
      <c r="C39" s="16" t="s">
        <v>189</v>
      </c>
      <c r="D39" s="16" t="s">
        <v>65</v>
      </c>
      <c r="E39" s="16" t="s">
        <v>66</v>
      </c>
      <c r="F39" s="16" t="s">
        <v>67</v>
      </c>
      <c r="G39" s="18"/>
      <c r="H39" s="18"/>
      <c r="I39" s="32">
        <v>45396</v>
      </c>
      <c r="J39" s="32">
        <v>45214</v>
      </c>
      <c r="K39" s="32">
        <v>45170</v>
      </c>
      <c r="L39" s="16"/>
      <c r="M39" s="16"/>
      <c r="N39" s="18" t="s">
        <v>313</v>
      </c>
      <c r="O39" s="22" t="s">
        <v>328</v>
      </c>
      <c r="P39" s="22" t="s">
        <v>161</v>
      </c>
      <c r="Q39" s="22"/>
      <c r="R39" s="22"/>
      <c r="S39" s="22"/>
      <c r="T39" s="22"/>
      <c r="U39" s="33">
        <v>45248</v>
      </c>
      <c r="V39" s="19" t="s">
        <v>161</v>
      </c>
      <c r="W39" s="19"/>
      <c r="X39" s="20"/>
      <c r="Y39" s="19"/>
      <c r="Z39" s="21">
        <v>165</v>
      </c>
      <c r="AA39" s="36" cm="1">
        <f t="array" ref="AA39">Vorlauf(Tabelle13[[#This Row],[Anbieter]])</f>
        <v>6</v>
      </c>
      <c r="AB39" s="37">
        <f>IFERROR(EDATE(Tabelle13[[#This Row],[Vertragsende]], -Tabelle13[[#This Row],[Vorlauf]]) + 1,"")</f>
        <v>45214</v>
      </c>
      <c r="AC39" s="37">
        <f>IFERROR(EDATE(Tabelle13[[#This Row],[Vertragsende]], -Tabelle13[[#This Row],[Vorlauf]] - 1) + 1,"")</f>
        <v>45184</v>
      </c>
    </row>
    <row r="40" spans="1:29" x14ac:dyDescent="0.25">
      <c r="A40" s="35">
        <f t="shared" si="2"/>
        <v>37</v>
      </c>
      <c r="B40" s="16" t="s">
        <v>190</v>
      </c>
      <c r="C40" s="16" t="s">
        <v>191</v>
      </c>
      <c r="D40" s="16" t="s">
        <v>65</v>
      </c>
      <c r="E40" s="16" t="s">
        <v>66</v>
      </c>
      <c r="F40" s="16" t="s">
        <v>67</v>
      </c>
      <c r="G40" s="18"/>
      <c r="H40" s="18"/>
      <c r="I40" s="32">
        <v>45396</v>
      </c>
      <c r="J40" s="32">
        <v>45214</v>
      </c>
      <c r="K40" s="32">
        <v>45170</v>
      </c>
      <c r="L40" s="16"/>
      <c r="M40" s="16"/>
      <c r="N40" s="18" t="s">
        <v>313</v>
      </c>
      <c r="O40" s="22" t="s">
        <v>328</v>
      </c>
      <c r="P40" s="22" t="s">
        <v>161</v>
      </c>
      <c r="Q40" s="22"/>
      <c r="R40" s="22"/>
      <c r="S40" s="22"/>
      <c r="T40" s="22"/>
      <c r="U40" s="33">
        <v>45248</v>
      </c>
      <c r="V40" s="19" t="s">
        <v>161</v>
      </c>
      <c r="W40" s="19"/>
      <c r="X40" s="20"/>
      <c r="Y40" s="19"/>
      <c r="Z40" s="21">
        <v>165</v>
      </c>
      <c r="AA40" s="36" cm="1">
        <f t="array" ref="AA40">Vorlauf(Tabelle13[[#This Row],[Anbieter]])</f>
        <v>6</v>
      </c>
      <c r="AB40" s="37">
        <f>IFERROR(EDATE(Tabelle13[[#This Row],[Vertragsende]], -Tabelle13[[#This Row],[Vorlauf]]) + 1,"")</f>
        <v>45214</v>
      </c>
      <c r="AC40" s="37">
        <f>IFERROR(EDATE(Tabelle13[[#This Row],[Vertragsende]], -Tabelle13[[#This Row],[Vorlauf]] - 1) + 1,"")</f>
        <v>45184</v>
      </c>
    </row>
    <row r="41" spans="1:29" x14ac:dyDescent="0.25">
      <c r="A41" s="35">
        <f t="shared" si="2"/>
        <v>38</v>
      </c>
      <c r="B41" s="16" t="s">
        <v>192</v>
      </c>
      <c r="C41" s="16" t="s">
        <v>193</v>
      </c>
      <c r="D41" s="16" t="s">
        <v>65</v>
      </c>
      <c r="E41" s="16" t="s">
        <v>66</v>
      </c>
      <c r="F41" s="16" t="s">
        <v>67</v>
      </c>
      <c r="G41" s="18"/>
      <c r="H41" s="18"/>
      <c r="I41" s="32">
        <v>45396</v>
      </c>
      <c r="J41" s="32">
        <v>45214</v>
      </c>
      <c r="K41" s="32">
        <v>45170</v>
      </c>
      <c r="L41" s="16"/>
      <c r="M41" s="16"/>
      <c r="N41" s="18" t="s">
        <v>313</v>
      </c>
      <c r="O41" s="22" t="s">
        <v>328</v>
      </c>
      <c r="P41" s="22" t="s">
        <v>69</v>
      </c>
      <c r="Q41" s="22"/>
      <c r="R41" s="22"/>
      <c r="S41" s="22"/>
      <c r="T41" s="22"/>
      <c r="U41" s="33">
        <v>45248</v>
      </c>
      <c r="V41" s="19" t="s">
        <v>161</v>
      </c>
      <c r="W41" s="19"/>
      <c r="X41" s="20"/>
      <c r="Y41" s="19"/>
      <c r="Z41" s="21">
        <v>165</v>
      </c>
      <c r="AA41" s="36" cm="1">
        <f t="array" ref="AA41">Vorlauf(Tabelle13[[#This Row],[Anbieter]])</f>
        <v>6</v>
      </c>
      <c r="AB41" s="37">
        <f>IFERROR(EDATE(Tabelle13[[#This Row],[Vertragsende]], -Tabelle13[[#This Row],[Vorlauf]]) + 1,"")</f>
        <v>45214</v>
      </c>
      <c r="AC41" s="37">
        <f>IFERROR(EDATE(Tabelle13[[#This Row],[Vertragsende]], -Tabelle13[[#This Row],[Vorlauf]] - 1) + 1,"")</f>
        <v>45184</v>
      </c>
    </row>
    <row r="42" spans="1:29" x14ac:dyDescent="0.25">
      <c r="A42" s="35">
        <f t="shared" si="2"/>
        <v>39</v>
      </c>
      <c r="B42" s="16" t="s">
        <v>194</v>
      </c>
      <c r="C42" s="16" t="s">
        <v>195</v>
      </c>
      <c r="D42" s="16" t="s">
        <v>65</v>
      </c>
      <c r="E42" s="16" t="s">
        <v>66</v>
      </c>
      <c r="F42" s="16" t="s">
        <v>67</v>
      </c>
      <c r="G42" s="18"/>
      <c r="H42" s="18"/>
      <c r="I42" s="32">
        <v>45396</v>
      </c>
      <c r="J42" s="32">
        <v>45214</v>
      </c>
      <c r="K42" s="32">
        <v>45170</v>
      </c>
      <c r="L42" s="16"/>
      <c r="M42" s="16"/>
      <c r="N42" s="18" t="s">
        <v>313</v>
      </c>
      <c r="O42" s="22" t="s">
        <v>328</v>
      </c>
      <c r="P42" s="22" t="s">
        <v>69</v>
      </c>
      <c r="Q42" s="22"/>
      <c r="R42" s="22"/>
      <c r="S42" s="22"/>
      <c r="T42" s="22"/>
      <c r="U42" s="33">
        <v>45248</v>
      </c>
      <c r="V42" s="19" t="s">
        <v>161</v>
      </c>
      <c r="W42" s="19"/>
      <c r="X42" s="20"/>
      <c r="Y42" s="19"/>
      <c r="Z42" s="21">
        <v>165</v>
      </c>
      <c r="AA42" s="36" cm="1">
        <f t="array" ref="AA42">Vorlauf(Tabelle13[[#This Row],[Anbieter]])</f>
        <v>6</v>
      </c>
      <c r="AB42" s="37">
        <f>IFERROR(EDATE(Tabelle13[[#This Row],[Vertragsende]], -Tabelle13[[#This Row],[Vorlauf]]) + 1,"")</f>
        <v>45214</v>
      </c>
      <c r="AC42" s="37">
        <f>IFERROR(EDATE(Tabelle13[[#This Row],[Vertragsende]], -Tabelle13[[#This Row],[Vorlauf]] - 1) + 1,"")</f>
        <v>45184</v>
      </c>
    </row>
    <row r="43" spans="1:29" x14ac:dyDescent="0.25">
      <c r="A43" s="35">
        <f t="shared" si="2"/>
        <v>40</v>
      </c>
      <c r="B43" s="16" t="s">
        <v>196</v>
      </c>
      <c r="C43" s="16" t="s">
        <v>197</v>
      </c>
      <c r="D43" s="16" t="s">
        <v>65</v>
      </c>
      <c r="E43" s="16" t="s">
        <v>66</v>
      </c>
      <c r="F43" s="16" t="s">
        <v>67</v>
      </c>
      <c r="G43" s="18"/>
      <c r="H43" s="18"/>
      <c r="I43" s="32">
        <v>45396</v>
      </c>
      <c r="J43" s="32">
        <v>45214</v>
      </c>
      <c r="K43" s="32">
        <v>45170</v>
      </c>
      <c r="L43" s="16"/>
      <c r="M43" s="16"/>
      <c r="N43" s="18" t="s">
        <v>313</v>
      </c>
      <c r="O43" s="22" t="s">
        <v>328</v>
      </c>
      <c r="P43" s="22" t="s">
        <v>69</v>
      </c>
      <c r="Q43" s="22"/>
      <c r="R43" s="22"/>
      <c r="S43" s="22"/>
      <c r="T43" s="22"/>
      <c r="U43" s="33">
        <v>45248</v>
      </c>
      <c r="V43" s="19" t="s">
        <v>161</v>
      </c>
      <c r="W43" s="19"/>
      <c r="X43" s="20"/>
      <c r="Y43" s="19"/>
      <c r="Z43" s="21">
        <v>165</v>
      </c>
      <c r="AA43" s="36" cm="1">
        <f t="array" ref="AA43">Vorlauf(Tabelle13[[#This Row],[Anbieter]])</f>
        <v>6</v>
      </c>
      <c r="AB43" s="37">
        <f>IFERROR(EDATE(Tabelle13[[#This Row],[Vertragsende]], -Tabelle13[[#This Row],[Vorlauf]]) + 1,"")</f>
        <v>45214</v>
      </c>
      <c r="AC43" s="37">
        <f>IFERROR(EDATE(Tabelle13[[#This Row],[Vertragsende]], -Tabelle13[[#This Row],[Vorlauf]] - 1) + 1,"")</f>
        <v>45184</v>
      </c>
    </row>
    <row r="44" spans="1:29" x14ac:dyDescent="0.25">
      <c r="A44" s="35">
        <f t="shared" si="2"/>
        <v>41</v>
      </c>
      <c r="B44" s="16" t="s">
        <v>198</v>
      </c>
      <c r="C44" s="16" t="s">
        <v>332</v>
      </c>
      <c r="D44" s="16" t="s">
        <v>65</v>
      </c>
      <c r="E44" s="16" t="s">
        <v>66</v>
      </c>
      <c r="F44" s="16" t="s">
        <v>67</v>
      </c>
      <c r="G44" s="18"/>
      <c r="H44" s="18"/>
      <c r="I44" s="32">
        <v>45396</v>
      </c>
      <c r="J44" s="32">
        <v>45214</v>
      </c>
      <c r="K44" s="32">
        <v>45170</v>
      </c>
      <c r="L44" s="16"/>
      <c r="M44" s="16"/>
      <c r="N44" s="18" t="s">
        <v>313</v>
      </c>
      <c r="O44" s="22" t="s">
        <v>328</v>
      </c>
      <c r="P44" s="22" t="s">
        <v>69</v>
      </c>
      <c r="Q44" s="22"/>
      <c r="R44" s="22"/>
      <c r="S44" s="22"/>
      <c r="T44" s="22"/>
      <c r="U44" s="33">
        <v>45248</v>
      </c>
      <c r="V44" s="19" t="s">
        <v>161</v>
      </c>
      <c r="W44" s="19"/>
      <c r="X44" s="20"/>
      <c r="Y44" s="19"/>
      <c r="Z44" s="21">
        <v>165</v>
      </c>
      <c r="AA44" s="36" cm="1">
        <f t="array" ref="AA44">Vorlauf(Tabelle13[[#This Row],[Anbieter]])</f>
        <v>6</v>
      </c>
      <c r="AB44" s="37">
        <f>IFERROR(EDATE(Tabelle13[[#This Row],[Vertragsende]], -Tabelle13[[#This Row],[Vorlauf]]) + 1,"")</f>
        <v>45214</v>
      </c>
      <c r="AC44" s="37">
        <f>IFERROR(EDATE(Tabelle13[[#This Row],[Vertragsende]], -Tabelle13[[#This Row],[Vorlauf]] - 1) + 1,"")</f>
        <v>45184</v>
      </c>
    </row>
    <row r="45" spans="1:29" x14ac:dyDescent="0.25">
      <c r="A45" s="35">
        <f t="shared" si="2"/>
        <v>42</v>
      </c>
      <c r="B45" s="16" t="s">
        <v>200</v>
      </c>
      <c r="C45" s="16" t="s">
        <v>333</v>
      </c>
      <c r="D45" s="16" t="s">
        <v>65</v>
      </c>
      <c r="E45" s="16" t="s">
        <v>66</v>
      </c>
      <c r="F45" s="16" t="s">
        <v>67</v>
      </c>
      <c r="G45" s="18"/>
      <c r="H45" s="18"/>
      <c r="I45" s="32">
        <v>45396</v>
      </c>
      <c r="J45" s="32">
        <v>45214</v>
      </c>
      <c r="K45" s="32">
        <v>45170</v>
      </c>
      <c r="L45" s="16"/>
      <c r="M45" s="16"/>
      <c r="N45" s="18" t="s">
        <v>313</v>
      </c>
      <c r="O45" s="22" t="s">
        <v>328</v>
      </c>
      <c r="P45" s="22" t="s">
        <v>69</v>
      </c>
      <c r="Q45" s="22"/>
      <c r="R45" s="22"/>
      <c r="S45" s="22"/>
      <c r="T45" s="22"/>
      <c r="U45" s="33">
        <v>45248</v>
      </c>
      <c r="V45" s="19" t="s">
        <v>161</v>
      </c>
      <c r="W45" s="19"/>
      <c r="X45" s="20"/>
      <c r="Y45" s="19"/>
      <c r="Z45" s="21">
        <v>165</v>
      </c>
      <c r="AA45" s="36" cm="1">
        <f t="array" ref="AA45">Vorlauf(Tabelle13[[#This Row],[Anbieter]])</f>
        <v>6</v>
      </c>
      <c r="AB45" s="37">
        <f>IFERROR(EDATE(Tabelle13[[#This Row],[Vertragsende]], -Tabelle13[[#This Row],[Vorlauf]]) + 1,"")</f>
        <v>45214</v>
      </c>
      <c r="AC45" s="37">
        <f>IFERROR(EDATE(Tabelle13[[#This Row],[Vertragsende]], -Tabelle13[[#This Row],[Vorlauf]] - 1) + 1,"")</f>
        <v>45184</v>
      </c>
    </row>
    <row r="46" spans="1:29" x14ac:dyDescent="0.25">
      <c r="A46" s="35">
        <f t="shared" si="2"/>
        <v>43</v>
      </c>
      <c r="B46" s="16" t="s">
        <v>202</v>
      </c>
      <c r="C46" s="16" t="s">
        <v>203</v>
      </c>
      <c r="D46" s="16" t="s">
        <v>65</v>
      </c>
      <c r="E46" s="16" t="s">
        <v>66</v>
      </c>
      <c r="F46" s="16" t="s">
        <v>67</v>
      </c>
      <c r="G46" s="18"/>
      <c r="H46" s="18"/>
      <c r="I46" s="32">
        <v>45396</v>
      </c>
      <c r="J46" s="32">
        <v>45214</v>
      </c>
      <c r="K46" s="32">
        <v>45170</v>
      </c>
      <c r="L46" s="16"/>
      <c r="M46" s="16"/>
      <c r="N46" s="18" t="s">
        <v>313</v>
      </c>
      <c r="O46" s="22" t="s">
        <v>328</v>
      </c>
      <c r="P46" s="22" t="s">
        <v>69</v>
      </c>
      <c r="Q46" s="22"/>
      <c r="R46" s="22"/>
      <c r="S46" s="22"/>
      <c r="T46" s="22"/>
      <c r="U46" s="33">
        <v>45248</v>
      </c>
      <c r="V46" s="19" t="s">
        <v>161</v>
      </c>
      <c r="W46" s="19"/>
      <c r="X46" s="20"/>
      <c r="Y46" s="19"/>
      <c r="Z46" s="21">
        <v>165</v>
      </c>
      <c r="AA46" s="36" cm="1">
        <f t="array" ref="AA46">Vorlauf(Tabelle13[[#This Row],[Anbieter]])</f>
        <v>6</v>
      </c>
      <c r="AB46" s="37">
        <f>IFERROR(EDATE(Tabelle13[[#This Row],[Vertragsende]], -Tabelle13[[#This Row],[Vorlauf]]) + 1,"")</f>
        <v>45214</v>
      </c>
      <c r="AC46" s="37">
        <f>IFERROR(EDATE(Tabelle13[[#This Row],[Vertragsende]], -Tabelle13[[#This Row],[Vorlauf]] - 1) + 1,"")</f>
        <v>45184</v>
      </c>
    </row>
    <row r="47" spans="1:29" x14ac:dyDescent="0.25">
      <c r="A47" s="35">
        <f t="shared" si="2"/>
        <v>44</v>
      </c>
      <c r="B47" s="16" t="s">
        <v>204</v>
      </c>
      <c r="C47" s="16" t="s">
        <v>205</v>
      </c>
      <c r="D47" s="16" t="s">
        <v>65</v>
      </c>
      <c r="E47" s="16" t="s">
        <v>66</v>
      </c>
      <c r="F47" s="16" t="s">
        <v>67</v>
      </c>
      <c r="G47" s="18"/>
      <c r="H47" s="18" t="s">
        <v>306</v>
      </c>
      <c r="I47" s="32">
        <v>45415</v>
      </c>
      <c r="J47" s="32">
        <v>45234</v>
      </c>
      <c r="K47" s="32">
        <v>45200</v>
      </c>
      <c r="L47" s="16"/>
      <c r="M47" s="16"/>
      <c r="N47" s="18" t="s">
        <v>313</v>
      </c>
      <c r="O47" s="22" t="s">
        <v>328</v>
      </c>
      <c r="P47" s="22" t="s">
        <v>78</v>
      </c>
      <c r="Q47" s="22"/>
      <c r="R47" s="22"/>
      <c r="S47" s="22"/>
      <c r="T47" s="22"/>
      <c r="U47" s="33">
        <v>45248</v>
      </c>
      <c r="V47" s="19" t="s">
        <v>265</v>
      </c>
      <c r="W47" s="19"/>
      <c r="X47" s="20"/>
      <c r="Y47" s="19"/>
      <c r="Z47" s="21">
        <v>265</v>
      </c>
      <c r="AA47" s="36" cm="1">
        <f t="array" ref="AA47">Vorlauf(Tabelle13[[#This Row],[Anbieter]])</f>
        <v>6</v>
      </c>
      <c r="AB47" s="37">
        <f>IFERROR(EDATE(Tabelle13[[#This Row],[Vertragsende]], -Tabelle13[[#This Row],[Vorlauf]]) + 1,"")</f>
        <v>45234</v>
      </c>
      <c r="AC47" s="37">
        <f>IFERROR(EDATE(Tabelle13[[#This Row],[Vertragsende]], -Tabelle13[[#This Row],[Vorlauf]] - 1) + 1,"")</f>
        <v>45203</v>
      </c>
    </row>
    <row r="48" spans="1:29" x14ac:dyDescent="0.25">
      <c r="A48" s="35">
        <f t="shared" si="2"/>
        <v>45</v>
      </c>
      <c r="B48" s="16" t="s">
        <v>206</v>
      </c>
      <c r="C48" s="16" t="s">
        <v>207</v>
      </c>
      <c r="D48" s="16" t="s">
        <v>65</v>
      </c>
      <c r="E48" s="16" t="s">
        <v>66</v>
      </c>
      <c r="F48" s="16" t="s">
        <v>67</v>
      </c>
      <c r="G48" s="18"/>
      <c r="H48" s="18" t="s">
        <v>306</v>
      </c>
      <c r="I48" s="32">
        <v>45415</v>
      </c>
      <c r="J48" s="32">
        <v>45234</v>
      </c>
      <c r="K48" s="32">
        <v>45200</v>
      </c>
      <c r="L48" s="16"/>
      <c r="M48" s="16"/>
      <c r="N48" s="18" t="s">
        <v>313</v>
      </c>
      <c r="O48" s="22" t="s">
        <v>328</v>
      </c>
      <c r="P48" s="22" t="s">
        <v>78</v>
      </c>
      <c r="Q48" s="22"/>
      <c r="R48" s="22"/>
      <c r="S48" s="22"/>
      <c r="T48" s="22"/>
      <c r="U48" s="33">
        <v>45248</v>
      </c>
      <c r="V48" s="19" t="s">
        <v>265</v>
      </c>
      <c r="W48" s="19"/>
      <c r="X48" s="20"/>
      <c r="Y48" s="19"/>
      <c r="Z48" s="21">
        <v>265</v>
      </c>
      <c r="AA48" s="36" cm="1">
        <f t="array" ref="AA48">Vorlauf(Tabelle13[[#This Row],[Anbieter]])</f>
        <v>6</v>
      </c>
      <c r="AB48" s="37">
        <f>IFERROR(EDATE(Tabelle13[[#This Row],[Vertragsende]], -Tabelle13[[#This Row],[Vorlauf]]) + 1,"")</f>
        <v>45234</v>
      </c>
      <c r="AC48" s="37">
        <f>IFERROR(EDATE(Tabelle13[[#This Row],[Vertragsende]], -Tabelle13[[#This Row],[Vorlauf]] - 1) + 1,"")</f>
        <v>45203</v>
      </c>
    </row>
    <row r="49" spans="1:29" x14ac:dyDescent="0.25">
      <c r="A49" s="35">
        <f t="shared" si="2"/>
        <v>46</v>
      </c>
      <c r="B49" s="16" t="s">
        <v>208</v>
      </c>
      <c r="C49" s="16" t="s">
        <v>209</v>
      </c>
      <c r="D49" s="16" t="s">
        <v>65</v>
      </c>
      <c r="E49" s="16" t="s">
        <v>66</v>
      </c>
      <c r="F49" s="16" t="s">
        <v>67</v>
      </c>
      <c r="G49" s="18"/>
      <c r="H49" s="18" t="s">
        <v>306</v>
      </c>
      <c r="I49" s="32">
        <v>45415</v>
      </c>
      <c r="J49" s="32">
        <v>45234</v>
      </c>
      <c r="K49" s="32">
        <v>45200</v>
      </c>
      <c r="L49" s="16"/>
      <c r="M49" s="16"/>
      <c r="N49" s="18" t="s">
        <v>313</v>
      </c>
      <c r="O49" s="22" t="s">
        <v>328</v>
      </c>
      <c r="P49" s="22" t="s">
        <v>78</v>
      </c>
      <c r="Q49" s="22"/>
      <c r="R49" s="22"/>
      <c r="S49" s="22"/>
      <c r="T49" s="22"/>
      <c r="U49" s="33">
        <v>45248</v>
      </c>
      <c r="V49" s="19" t="s">
        <v>265</v>
      </c>
      <c r="W49" s="19"/>
      <c r="X49" s="20"/>
      <c r="Y49" s="19"/>
      <c r="Z49" s="21">
        <v>265</v>
      </c>
      <c r="AA49" s="36" cm="1">
        <f t="array" ref="AA49">Vorlauf(Tabelle13[[#This Row],[Anbieter]])</f>
        <v>6</v>
      </c>
      <c r="AB49" s="37">
        <f>IFERROR(EDATE(Tabelle13[[#This Row],[Vertragsende]], -Tabelle13[[#This Row],[Vorlauf]]) + 1,"")</f>
        <v>45234</v>
      </c>
      <c r="AC49" s="37">
        <f>IFERROR(EDATE(Tabelle13[[#This Row],[Vertragsende]], -Tabelle13[[#This Row],[Vorlauf]] - 1) + 1,"")</f>
        <v>45203</v>
      </c>
    </row>
    <row r="50" spans="1:29" x14ac:dyDescent="0.25">
      <c r="A50" s="35">
        <f t="shared" si="2"/>
        <v>47</v>
      </c>
      <c r="B50" s="16" t="s">
        <v>210</v>
      </c>
      <c r="C50" s="16" t="s">
        <v>211</v>
      </c>
      <c r="D50" s="16" t="s">
        <v>65</v>
      </c>
      <c r="E50" s="16" t="s">
        <v>66</v>
      </c>
      <c r="F50" s="16" t="s">
        <v>67</v>
      </c>
      <c r="G50" s="18"/>
      <c r="H50" s="18" t="s">
        <v>306</v>
      </c>
      <c r="I50" s="32">
        <v>45415</v>
      </c>
      <c r="J50" s="32">
        <v>45234</v>
      </c>
      <c r="K50" s="32">
        <v>45200</v>
      </c>
      <c r="L50" s="16"/>
      <c r="M50" s="16"/>
      <c r="N50" s="18" t="s">
        <v>313</v>
      </c>
      <c r="O50" s="22" t="s">
        <v>328</v>
      </c>
      <c r="P50" s="22" t="s">
        <v>78</v>
      </c>
      <c r="Q50" s="22"/>
      <c r="R50" s="22"/>
      <c r="S50" s="22"/>
      <c r="T50" s="22"/>
      <c r="U50" s="33">
        <v>45248</v>
      </c>
      <c r="V50" s="19" t="s">
        <v>265</v>
      </c>
      <c r="W50" s="19"/>
      <c r="X50" s="20"/>
      <c r="Y50" s="19"/>
      <c r="Z50" s="21">
        <v>265</v>
      </c>
      <c r="AA50" s="36" cm="1">
        <f t="array" ref="AA50">Vorlauf(Tabelle13[[#This Row],[Anbieter]])</f>
        <v>6</v>
      </c>
      <c r="AB50" s="37">
        <f>IFERROR(EDATE(Tabelle13[[#This Row],[Vertragsende]], -Tabelle13[[#This Row],[Vorlauf]]) + 1,"")</f>
        <v>45234</v>
      </c>
      <c r="AC50" s="37">
        <f>IFERROR(EDATE(Tabelle13[[#This Row],[Vertragsende]], -Tabelle13[[#This Row],[Vorlauf]] - 1) + 1,"")</f>
        <v>45203</v>
      </c>
    </row>
    <row r="51" spans="1:29" x14ac:dyDescent="0.25">
      <c r="A51" s="35">
        <f t="shared" si="2"/>
        <v>48</v>
      </c>
      <c r="B51" s="16" t="s">
        <v>212</v>
      </c>
      <c r="C51" s="16" t="s">
        <v>213</v>
      </c>
      <c r="D51" s="16" t="s">
        <v>65</v>
      </c>
      <c r="E51" s="16" t="s">
        <v>66</v>
      </c>
      <c r="F51" s="16" t="s">
        <v>67</v>
      </c>
      <c r="G51" s="18"/>
      <c r="H51" s="18" t="s">
        <v>306</v>
      </c>
      <c r="I51" s="32">
        <v>45415</v>
      </c>
      <c r="J51" s="32">
        <v>45234</v>
      </c>
      <c r="K51" s="32">
        <v>45200</v>
      </c>
      <c r="L51" s="16"/>
      <c r="M51" s="16"/>
      <c r="N51" s="18" t="s">
        <v>313</v>
      </c>
      <c r="O51" s="22" t="s">
        <v>328</v>
      </c>
      <c r="P51" s="22" t="s">
        <v>78</v>
      </c>
      <c r="Q51" s="22"/>
      <c r="R51" s="22"/>
      <c r="S51" s="22"/>
      <c r="T51" s="22"/>
      <c r="U51" s="33">
        <v>45248</v>
      </c>
      <c r="V51" s="19" t="s">
        <v>265</v>
      </c>
      <c r="W51" s="19"/>
      <c r="X51" s="20"/>
      <c r="Y51" s="19"/>
      <c r="Z51" s="21">
        <v>265</v>
      </c>
      <c r="AA51" s="36" cm="1">
        <f t="array" ref="AA51">Vorlauf(Tabelle13[[#This Row],[Anbieter]])</f>
        <v>6</v>
      </c>
      <c r="AB51" s="37">
        <f>IFERROR(EDATE(Tabelle13[[#This Row],[Vertragsende]], -Tabelle13[[#This Row],[Vorlauf]]) + 1,"")</f>
        <v>45234</v>
      </c>
      <c r="AC51" s="37">
        <f>IFERROR(EDATE(Tabelle13[[#This Row],[Vertragsende]], -Tabelle13[[#This Row],[Vorlauf]] - 1) + 1,"")</f>
        <v>45203</v>
      </c>
    </row>
    <row r="52" spans="1:29" x14ac:dyDescent="0.25">
      <c r="A52" s="35">
        <f t="shared" si="2"/>
        <v>49</v>
      </c>
      <c r="B52" s="16" t="s">
        <v>214</v>
      </c>
      <c r="C52" s="16" t="s">
        <v>215</v>
      </c>
      <c r="D52" s="16" t="s">
        <v>65</v>
      </c>
      <c r="E52" s="16" t="s">
        <v>66</v>
      </c>
      <c r="F52" s="16" t="s">
        <v>67</v>
      </c>
      <c r="G52" s="18"/>
      <c r="H52" s="18" t="s">
        <v>306</v>
      </c>
      <c r="I52" s="32">
        <v>45415</v>
      </c>
      <c r="J52" s="32">
        <v>45234</v>
      </c>
      <c r="K52" s="32">
        <v>45200</v>
      </c>
      <c r="L52" s="16"/>
      <c r="M52" s="16"/>
      <c r="N52" s="18" t="s">
        <v>313</v>
      </c>
      <c r="O52" s="22" t="s">
        <v>328</v>
      </c>
      <c r="P52" s="22" t="s">
        <v>78</v>
      </c>
      <c r="Q52" s="22"/>
      <c r="R52" s="22"/>
      <c r="S52" s="22"/>
      <c r="T52" s="22"/>
      <c r="U52" s="33">
        <v>45248</v>
      </c>
      <c r="V52" s="19" t="s">
        <v>265</v>
      </c>
      <c r="W52" s="19"/>
      <c r="X52" s="20"/>
      <c r="Y52" s="19"/>
      <c r="Z52" s="21">
        <v>265</v>
      </c>
      <c r="AA52" s="36" cm="1">
        <f t="array" ref="AA52">Vorlauf(Tabelle13[[#This Row],[Anbieter]])</f>
        <v>6</v>
      </c>
      <c r="AB52" s="37">
        <f>IFERROR(EDATE(Tabelle13[[#This Row],[Vertragsende]], -Tabelle13[[#This Row],[Vorlauf]]) + 1,"")</f>
        <v>45234</v>
      </c>
      <c r="AC52" s="37">
        <f>IFERROR(EDATE(Tabelle13[[#This Row],[Vertragsende]], -Tabelle13[[#This Row],[Vorlauf]] - 1) + 1,"")</f>
        <v>45203</v>
      </c>
    </row>
    <row r="53" spans="1:29" x14ac:dyDescent="0.25">
      <c r="A53" s="35">
        <f t="shared" si="2"/>
        <v>50</v>
      </c>
      <c r="B53" s="16" t="s">
        <v>216</v>
      </c>
      <c r="C53" s="16" t="s">
        <v>217</v>
      </c>
      <c r="D53" s="16" t="s">
        <v>65</v>
      </c>
      <c r="E53" s="16" t="s">
        <v>66</v>
      </c>
      <c r="F53" s="16" t="s">
        <v>67</v>
      </c>
      <c r="G53" s="18"/>
      <c r="H53" s="18" t="s">
        <v>306</v>
      </c>
      <c r="I53" s="32">
        <v>45415</v>
      </c>
      <c r="J53" s="32">
        <v>45234</v>
      </c>
      <c r="K53" s="32">
        <v>45200</v>
      </c>
      <c r="L53" s="16"/>
      <c r="M53" s="16"/>
      <c r="N53" s="18" t="s">
        <v>313</v>
      </c>
      <c r="O53" s="22" t="s">
        <v>328</v>
      </c>
      <c r="P53" s="22" t="s">
        <v>78</v>
      </c>
      <c r="Q53" s="22" t="s">
        <v>334</v>
      </c>
      <c r="R53" s="22"/>
      <c r="S53" s="22"/>
      <c r="T53" s="22"/>
      <c r="U53" s="33">
        <v>45248</v>
      </c>
      <c r="V53" s="19" t="s">
        <v>265</v>
      </c>
      <c r="W53" s="19"/>
      <c r="X53" s="20"/>
      <c r="Y53" s="19"/>
      <c r="Z53" s="21">
        <v>265</v>
      </c>
      <c r="AA53" s="36" cm="1">
        <f t="array" ref="AA53">Vorlauf(Tabelle13[[#This Row],[Anbieter]])</f>
        <v>6</v>
      </c>
      <c r="AB53" s="37">
        <f>IFERROR(EDATE(Tabelle13[[#This Row],[Vertragsende]], -Tabelle13[[#This Row],[Vorlauf]]) + 1,"")</f>
        <v>45234</v>
      </c>
      <c r="AC53" s="37">
        <f>IFERROR(EDATE(Tabelle13[[#This Row],[Vertragsende]], -Tabelle13[[#This Row],[Vorlauf]] - 1) + 1,"")</f>
        <v>45203</v>
      </c>
    </row>
    <row r="54" spans="1:29" x14ac:dyDescent="0.25">
      <c r="A54" s="35">
        <f t="shared" si="2"/>
        <v>51</v>
      </c>
      <c r="B54" s="16" t="s">
        <v>218</v>
      </c>
      <c r="C54" s="16" t="s">
        <v>219</v>
      </c>
      <c r="D54" s="16" t="s">
        <v>65</v>
      </c>
      <c r="E54" s="16" t="s">
        <v>66</v>
      </c>
      <c r="F54" s="16" t="s">
        <v>67</v>
      </c>
      <c r="G54" s="18"/>
      <c r="H54" s="18" t="s">
        <v>306</v>
      </c>
      <c r="I54" s="32">
        <v>45415</v>
      </c>
      <c r="J54" s="32">
        <v>45234</v>
      </c>
      <c r="K54" s="32">
        <v>45200</v>
      </c>
      <c r="L54" s="16"/>
      <c r="M54" s="16"/>
      <c r="N54" s="18" t="s">
        <v>313</v>
      </c>
      <c r="O54" s="22" t="s">
        <v>328</v>
      </c>
      <c r="P54" s="22" t="s">
        <v>78</v>
      </c>
      <c r="Q54" s="22"/>
      <c r="R54" s="22"/>
      <c r="S54" s="22"/>
      <c r="T54" s="22"/>
      <c r="U54" s="33">
        <v>45248</v>
      </c>
      <c r="V54" s="19" t="s">
        <v>78</v>
      </c>
      <c r="W54" s="19"/>
      <c r="X54" s="20"/>
      <c r="Y54" s="19"/>
      <c r="Z54" s="21">
        <v>170</v>
      </c>
      <c r="AA54" s="36" cm="1">
        <f t="array" ref="AA54">Vorlauf(Tabelle13[[#This Row],[Anbieter]])</f>
        <v>6</v>
      </c>
      <c r="AB54" s="37">
        <f>IFERROR(EDATE(Tabelle13[[#This Row],[Vertragsende]], -Tabelle13[[#This Row],[Vorlauf]]) + 1,"")</f>
        <v>45234</v>
      </c>
      <c r="AC54" s="37">
        <f>IFERROR(EDATE(Tabelle13[[#This Row],[Vertragsende]], -Tabelle13[[#This Row],[Vorlauf]] - 1) + 1,"")</f>
        <v>45203</v>
      </c>
    </row>
    <row r="55" spans="1:29" x14ac:dyDescent="0.25">
      <c r="A55" s="35">
        <f t="shared" si="2"/>
        <v>52</v>
      </c>
      <c r="B55" s="16" t="s">
        <v>220</v>
      </c>
      <c r="C55" s="16" t="s">
        <v>221</v>
      </c>
      <c r="D55" s="16" t="s">
        <v>65</v>
      </c>
      <c r="E55" s="16" t="s">
        <v>66</v>
      </c>
      <c r="F55" s="16" t="s">
        <v>67</v>
      </c>
      <c r="G55" s="18"/>
      <c r="H55" s="18" t="s">
        <v>306</v>
      </c>
      <c r="I55" s="32">
        <v>45415</v>
      </c>
      <c r="J55" s="32">
        <v>45234</v>
      </c>
      <c r="K55" s="32">
        <v>45200</v>
      </c>
      <c r="L55" s="16"/>
      <c r="M55" s="16"/>
      <c r="N55" s="18" t="s">
        <v>313</v>
      </c>
      <c r="O55" s="22" t="s">
        <v>328</v>
      </c>
      <c r="P55" s="22" t="s">
        <v>78</v>
      </c>
      <c r="Q55" s="22"/>
      <c r="R55" s="22"/>
      <c r="S55" s="22"/>
      <c r="T55" s="22"/>
      <c r="U55" s="33">
        <v>45248</v>
      </c>
      <c r="V55" s="19" t="s">
        <v>265</v>
      </c>
      <c r="W55" s="19"/>
      <c r="X55" s="20"/>
      <c r="Y55" s="19"/>
      <c r="Z55" s="21">
        <v>265</v>
      </c>
      <c r="AA55" s="36" cm="1">
        <f t="array" ref="AA55">Vorlauf(Tabelle13[[#This Row],[Anbieter]])</f>
        <v>6</v>
      </c>
      <c r="AB55" s="37">
        <f>IFERROR(EDATE(Tabelle13[[#This Row],[Vertragsende]], -Tabelle13[[#This Row],[Vorlauf]]) + 1,"")</f>
        <v>45234</v>
      </c>
      <c r="AC55" s="37">
        <f>IFERROR(EDATE(Tabelle13[[#This Row],[Vertragsende]], -Tabelle13[[#This Row],[Vorlauf]] - 1) + 1,"")</f>
        <v>45203</v>
      </c>
    </row>
    <row r="56" spans="1:29" x14ac:dyDescent="0.25">
      <c r="A56" s="35">
        <f t="shared" si="2"/>
        <v>53</v>
      </c>
      <c r="B56" s="16" t="s">
        <v>222</v>
      </c>
      <c r="C56" s="16" t="s">
        <v>223</v>
      </c>
      <c r="D56" s="16" t="s">
        <v>65</v>
      </c>
      <c r="E56" s="16" t="s">
        <v>66</v>
      </c>
      <c r="F56" s="16" t="s">
        <v>67</v>
      </c>
      <c r="G56" s="18"/>
      <c r="H56" s="18" t="s">
        <v>306</v>
      </c>
      <c r="I56" s="32">
        <v>45415</v>
      </c>
      <c r="J56" s="32">
        <v>45234</v>
      </c>
      <c r="K56" s="32">
        <v>45200</v>
      </c>
      <c r="L56" s="16"/>
      <c r="M56" s="16"/>
      <c r="N56" s="18" t="s">
        <v>313</v>
      </c>
      <c r="O56" s="22" t="s">
        <v>328</v>
      </c>
      <c r="P56" s="22" t="s">
        <v>78</v>
      </c>
      <c r="Q56" s="22"/>
      <c r="R56" s="22"/>
      <c r="S56" s="22"/>
      <c r="T56" s="22"/>
      <c r="U56" s="33">
        <v>45248</v>
      </c>
      <c r="V56" s="19" t="s">
        <v>265</v>
      </c>
      <c r="W56" s="19"/>
      <c r="X56" s="20"/>
      <c r="Y56" s="19"/>
      <c r="Z56" s="21">
        <v>265</v>
      </c>
      <c r="AA56" s="36" cm="1">
        <f t="array" ref="AA56">Vorlauf(Tabelle13[[#This Row],[Anbieter]])</f>
        <v>6</v>
      </c>
      <c r="AB56" s="37">
        <f>IFERROR(EDATE(Tabelle13[[#This Row],[Vertragsende]], -Tabelle13[[#This Row],[Vorlauf]]) + 1,"")</f>
        <v>45234</v>
      </c>
      <c r="AC56" s="37">
        <f>IFERROR(EDATE(Tabelle13[[#This Row],[Vertragsende]], -Tabelle13[[#This Row],[Vorlauf]] - 1) + 1,"")</f>
        <v>45203</v>
      </c>
    </row>
    <row r="57" spans="1:29" x14ac:dyDescent="0.25">
      <c r="A57" s="35">
        <f t="shared" si="2"/>
        <v>54</v>
      </c>
      <c r="B57" s="16" t="s">
        <v>80</v>
      </c>
      <c r="C57" s="16" t="s">
        <v>81</v>
      </c>
      <c r="D57" s="16" t="s">
        <v>65</v>
      </c>
      <c r="E57" s="16" t="s">
        <v>66</v>
      </c>
      <c r="F57" s="16" t="s">
        <v>67</v>
      </c>
      <c r="G57" s="18"/>
      <c r="H57" s="18" t="s">
        <v>306</v>
      </c>
      <c r="I57" s="32">
        <v>45430</v>
      </c>
      <c r="J57" s="32">
        <v>45249</v>
      </c>
      <c r="K57" s="32">
        <v>45200</v>
      </c>
      <c r="L57" s="16"/>
      <c r="M57" s="16"/>
      <c r="N57" s="18" t="s">
        <v>313</v>
      </c>
      <c r="O57" s="22" t="s">
        <v>328</v>
      </c>
      <c r="P57" s="22" t="s">
        <v>78</v>
      </c>
      <c r="Q57" s="22"/>
      <c r="R57" s="22"/>
      <c r="S57" s="22"/>
      <c r="T57" s="22"/>
      <c r="U57" s="33">
        <v>45249</v>
      </c>
      <c r="V57" s="19" t="s">
        <v>265</v>
      </c>
      <c r="W57" s="19"/>
      <c r="X57" s="20"/>
      <c r="Y57" s="19"/>
      <c r="Z57" s="21">
        <v>265</v>
      </c>
      <c r="AA57" s="36" cm="1">
        <f t="array" ref="AA57">Vorlauf(Tabelle13[[#This Row],[Anbieter]])</f>
        <v>6</v>
      </c>
      <c r="AB57" s="37">
        <f>IFERROR(EDATE(Tabelle13[[#This Row],[Vertragsende]], -Tabelle13[[#This Row],[Vorlauf]]) + 1,"")</f>
        <v>45249</v>
      </c>
      <c r="AC57" s="37">
        <f>IFERROR(EDATE(Tabelle13[[#This Row],[Vertragsende]], -Tabelle13[[#This Row],[Vorlauf]] - 1) + 1,"")</f>
        <v>45218</v>
      </c>
    </row>
    <row r="58" spans="1:29" x14ac:dyDescent="0.25">
      <c r="A58" s="35">
        <f t="shared" si="2"/>
        <v>55</v>
      </c>
      <c r="B58" s="16" t="s">
        <v>84</v>
      </c>
      <c r="C58" s="16" t="s">
        <v>85</v>
      </c>
      <c r="D58" s="16" t="s">
        <v>65</v>
      </c>
      <c r="E58" s="16" t="s">
        <v>66</v>
      </c>
      <c r="F58" s="16" t="s">
        <v>67</v>
      </c>
      <c r="G58" s="18"/>
      <c r="H58" s="18" t="s">
        <v>306</v>
      </c>
      <c r="I58" s="32">
        <v>45430</v>
      </c>
      <c r="J58" s="32">
        <v>45249</v>
      </c>
      <c r="K58" s="32">
        <v>45200</v>
      </c>
      <c r="L58" s="16"/>
      <c r="M58" s="16"/>
      <c r="N58" s="18" t="s">
        <v>313</v>
      </c>
      <c r="O58" s="22" t="s">
        <v>328</v>
      </c>
      <c r="P58" s="22" t="s">
        <v>78</v>
      </c>
      <c r="Q58" s="22"/>
      <c r="R58" s="22"/>
      <c r="S58" s="22"/>
      <c r="T58" s="22"/>
      <c r="U58" s="33">
        <v>45249</v>
      </c>
      <c r="V58" s="19" t="s">
        <v>265</v>
      </c>
      <c r="W58" s="19"/>
      <c r="X58" s="20"/>
      <c r="Y58" s="19"/>
      <c r="Z58" s="21">
        <v>265</v>
      </c>
      <c r="AA58" s="36" cm="1">
        <f t="array" ref="AA58">Vorlauf(Tabelle13[[#This Row],[Anbieter]])</f>
        <v>6</v>
      </c>
      <c r="AB58" s="37">
        <f>IFERROR(EDATE(Tabelle13[[#This Row],[Vertragsende]], -Tabelle13[[#This Row],[Vorlauf]]) + 1,"")</f>
        <v>45249</v>
      </c>
      <c r="AC58" s="37">
        <f>IFERROR(EDATE(Tabelle13[[#This Row],[Vertragsende]], -Tabelle13[[#This Row],[Vorlauf]] - 1) + 1,"")</f>
        <v>45218</v>
      </c>
    </row>
    <row r="59" spans="1:29" x14ac:dyDescent="0.25">
      <c r="A59" s="35">
        <f t="shared" si="2"/>
        <v>56</v>
      </c>
      <c r="B59" s="16" t="s">
        <v>86</v>
      </c>
      <c r="C59" s="16" t="s">
        <v>87</v>
      </c>
      <c r="D59" s="16" t="s">
        <v>65</v>
      </c>
      <c r="E59" s="16" t="s">
        <v>66</v>
      </c>
      <c r="F59" s="16" t="s">
        <v>67</v>
      </c>
      <c r="G59" s="18"/>
      <c r="H59" s="18" t="s">
        <v>306</v>
      </c>
      <c r="I59" s="32">
        <v>45455</v>
      </c>
      <c r="J59" s="32">
        <v>45273</v>
      </c>
      <c r="K59" s="32">
        <v>45231</v>
      </c>
      <c r="L59" s="16"/>
      <c r="M59" s="16"/>
      <c r="N59" s="18" t="s">
        <v>313</v>
      </c>
      <c r="O59" s="22" t="s">
        <v>328</v>
      </c>
      <c r="P59" s="22" t="s">
        <v>78</v>
      </c>
      <c r="Q59" s="22"/>
      <c r="R59" s="22"/>
      <c r="S59" s="22"/>
      <c r="T59" s="22"/>
      <c r="U59" s="33">
        <v>45297</v>
      </c>
      <c r="V59" s="19" t="s">
        <v>265</v>
      </c>
      <c r="W59" s="19"/>
      <c r="X59" s="20"/>
      <c r="Y59" s="19"/>
      <c r="Z59" s="21">
        <v>265</v>
      </c>
      <c r="AA59" s="36" cm="1">
        <f t="array" ref="AA59">Vorlauf(Tabelle13[[#This Row],[Anbieter]])</f>
        <v>6</v>
      </c>
      <c r="AB59" s="37">
        <f>IFERROR(EDATE(Tabelle13[[#This Row],[Vertragsende]], -Tabelle13[[#This Row],[Vorlauf]]) + 1,"")</f>
        <v>45273</v>
      </c>
      <c r="AC59" s="37">
        <f>IFERROR(EDATE(Tabelle13[[#This Row],[Vertragsende]], -Tabelle13[[#This Row],[Vorlauf]] - 1) + 1,"")</f>
        <v>45243</v>
      </c>
    </row>
    <row r="60" spans="1:29" x14ac:dyDescent="0.25">
      <c r="A60" s="35">
        <f t="shared" si="2"/>
        <v>57</v>
      </c>
      <c r="B60" s="16" t="s">
        <v>89</v>
      </c>
      <c r="C60" s="16" t="s">
        <v>90</v>
      </c>
      <c r="D60" s="16" t="s">
        <v>65</v>
      </c>
      <c r="E60" s="16" t="s">
        <v>66</v>
      </c>
      <c r="F60" s="16" t="s">
        <v>67</v>
      </c>
      <c r="G60" s="18"/>
      <c r="H60" s="18" t="s">
        <v>306</v>
      </c>
      <c r="I60" s="32">
        <v>45455</v>
      </c>
      <c r="J60" s="32">
        <v>45273</v>
      </c>
      <c r="K60" s="32">
        <v>45231</v>
      </c>
      <c r="L60" s="16"/>
      <c r="M60" s="16"/>
      <c r="N60" s="18" t="s">
        <v>313</v>
      </c>
      <c r="O60" s="22" t="s">
        <v>328</v>
      </c>
      <c r="P60" s="22" t="s">
        <v>78</v>
      </c>
      <c r="Q60" s="22"/>
      <c r="R60" s="22"/>
      <c r="S60" s="22"/>
      <c r="T60" s="22"/>
      <c r="U60" s="33">
        <v>45297</v>
      </c>
      <c r="V60" s="19" t="s">
        <v>265</v>
      </c>
      <c r="W60" s="19"/>
      <c r="X60" s="20"/>
      <c r="Y60" s="19"/>
      <c r="Z60" s="21">
        <v>265</v>
      </c>
      <c r="AA60" s="36" cm="1">
        <f t="array" ref="AA60">Vorlauf(Tabelle13[[#This Row],[Anbieter]])</f>
        <v>6</v>
      </c>
      <c r="AB60" s="37">
        <f>IFERROR(EDATE(Tabelle13[[#This Row],[Vertragsende]], -Tabelle13[[#This Row],[Vorlauf]]) + 1,"")</f>
        <v>45273</v>
      </c>
      <c r="AC60" s="37">
        <f>IFERROR(EDATE(Tabelle13[[#This Row],[Vertragsende]], -Tabelle13[[#This Row],[Vorlauf]] - 1) + 1,"")</f>
        <v>45243</v>
      </c>
    </row>
    <row r="61" spans="1:29" x14ac:dyDescent="0.25">
      <c r="A61" s="35">
        <f t="shared" si="2"/>
        <v>58</v>
      </c>
      <c r="B61" s="16" t="s">
        <v>91</v>
      </c>
      <c r="C61" s="16" t="s">
        <v>92</v>
      </c>
      <c r="D61" s="16" t="s">
        <v>65</v>
      </c>
      <c r="E61" s="16" t="s">
        <v>66</v>
      </c>
      <c r="F61" s="16" t="s">
        <v>67</v>
      </c>
      <c r="G61" s="18"/>
      <c r="H61" s="18" t="s">
        <v>306</v>
      </c>
      <c r="I61" s="32">
        <v>45455</v>
      </c>
      <c r="J61" s="32">
        <v>45273</v>
      </c>
      <c r="K61" s="32">
        <v>45231</v>
      </c>
      <c r="L61" s="16"/>
      <c r="M61" s="16"/>
      <c r="N61" s="18" t="s">
        <v>313</v>
      </c>
      <c r="O61" s="22" t="s">
        <v>328</v>
      </c>
      <c r="P61" s="22" t="s">
        <v>78</v>
      </c>
      <c r="Q61" s="22"/>
      <c r="R61" s="22"/>
      <c r="S61" s="22"/>
      <c r="T61" s="22"/>
      <c r="U61" s="33">
        <v>45297</v>
      </c>
      <c r="V61" s="19" t="s">
        <v>265</v>
      </c>
      <c r="W61" s="19"/>
      <c r="X61" s="20"/>
      <c r="Y61" s="19"/>
      <c r="Z61" s="21">
        <v>265</v>
      </c>
      <c r="AA61" s="36" cm="1">
        <f t="array" ref="AA61">Vorlauf(Tabelle13[[#This Row],[Anbieter]])</f>
        <v>6</v>
      </c>
      <c r="AB61" s="37">
        <f>IFERROR(EDATE(Tabelle13[[#This Row],[Vertragsende]], -Tabelle13[[#This Row],[Vorlauf]]) + 1,"")</f>
        <v>45273</v>
      </c>
      <c r="AC61" s="37">
        <f>IFERROR(EDATE(Tabelle13[[#This Row],[Vertragsende]], -Tabelle13[[#This Row],[Vorlauf]] - 1) + 1,"")</f>
        <v>45243</v>
      </c>
    </row>
    <row r="62" spans="1:29" x14ac:dyDescent="0.25">
      <c r="A62" s="35">
        <f t="shared" si="2"/>
        <v>59</v>
      </c>
      <c r="B62" s="16" t="s">
        <v>93</v>
      </c>
      <c r="C62" s="16" t="s">
        <v>94</v>
      </c>
      <c r="D62" s="16" t="s">
        <v>65</v>
      </c>
      <c r="E62" s="16" t="s">
        <v>66</v>
      </c>
      <c r="F62" s="16" t="s">
        <v>67</v>
      </c>
      <c r="G62" s="18"/>
      <c r="H62" s="18" t="s">
        <v>306</v>
      </c>
      <c r="I62" s="32">
        <v>45455</v>
      </c>
      <c r="J62" s="32">
        <v>45273</v>
      </c>
      <c r="K62" s="32">
        <v>45231</v>
      </c>
      <c r="L62" s="16"/>
      <c r="M62" s="16"/>
      <c r="N62" s="18" t="s">
        <v>313</v>
      </c>
      <c r="O62" s="22" t="s">
        <v>328</v>
      </c>
      <c r="P62" s="22" t="s">
        <v>78</v>
      </c>
      <c r="Q62" s="22"/>
      <c r="R62" s="22"/>
      <c r="S62" s="22"/>
      <c r="T62" s="22"/>
      <c r="U62" s="33">
        <v>45297</v>
      </c>
      <c r="V62" s="19" t="s">
        <v>265</v>
      </c>
      <c r="W62" s="19"/>
      <c r="X62" s="20"/>
      <c r="Y62" s="19"/>
      <c r="Z62" s="21">
        <v>265</v>
      </c>
      <c r="AA62" s="36" cm="1">
        <f t="array" ref="AA62">Vorlauf(Tabelle13[[#This Row],[Anbieter]])</f>
        <v>6</v>
      </c>
      <c r="AB62" s="37">
        <f>IFERROR(EDATE(Tabelle13[[#This Row],[Vertragsende]], -Tabelle13[[#This Row],[Vorlauf]]) + 1,"")</f>
        <v>45273</v>
      </c>
      <c r="AC62" s="37">
        <f>IFERROR(EDATE(Tabelle13[[#This Row],[Vertragsende]], -Tabelle13[[#This Row],[Vorlauf]] - 1) + 1,"")</f>
        <v>45243</v>
      </c>
    </row>
    <row r="63" spans="1:29" x14ac:dyDescent="0.25">
      <c r="A63" s="35">
        <f t="shared" si="2"/>
        <v>60</v>
      </c>
      <c r="B63" s="16" t="s">
        <v>95</v>
      </c>
      <c r="C63" s="16" t="s">
        <v>96</v>
      </c>
      <c r="D63" s="16" t="s">
        <v>65</v>
      </c>
      <c r="E63" s="16" t="s">
        <v>66</v>
      </c>
      <c r="F63" s="16" t="s">
        <v>67</v>
      </c>
      <c r="G63" s="18"/>
      <c r="H63" s="18" t="s">
        <v>306</v>
      </c>
      <c r="I63" s="32">
        <v>45455</v>
      </c>
      <c r="J63" s="32">
        <v>45273</v>
      </c>
      <c r="K63" s="32">
        <v>45231</v>
      </c>
      <c r="L63" s="16"/>
      <c r="M63" s="16"/>
      <c r="N63" s="18" t="s">
        <v>313</v>
      </c>
      <c r="O63" s="22" t="s">
        <v>328</v>
      </c>
      <c r="P63" s="22" t="s">
        <v>78</v>
      </c>
      <c r="Q63" s="22"/>
      <c r="R63" s="22"/>
      <c r="S63" s="22"/>
      <c r="T63" s="22"/>
      <c r="U63" s="33">
        <v>45297</v>
      </c>
      <c r="V63" s="19" t="s">
        <v>265</v>
      </c>
      <c r="W63" s="19"/>
      <c r="X63" s="20"/>
      <c r="Y63" s="19"/>
      <c r="Z63" s="21">
        <v>265</v>
      </c>
      <c r="AA63" s="36" cm="1">
        <f t="array" ref="AA63">Vorlauf(Tabelle13[[#This Row],[Anbieter]])</f>
        <v>6</v>
      </c>
      <c r="AB63" s="37">
        <f>IFERROR(EDATE(Tabelle13[[#This Row],[Vertragsende]], -Tabelle13[[#This Row],[Vorlauf]]) + 1,"")</f>
        <v>45273</v>
      </c>
      <c r="AC63" s="37">
        <f>IFERROR(EDATE(Tabelle13[[#This Row],[Vertragsende]], -Tabelle13[[#This Row],[Vorlauf]] - 1) + 1,"")</f>
        <v>45243</v>
      </c>
    </row>
    <row r="64" spans="1:29" x14ac:dyDescent="0.25">
      <c r="A64" s="35">
        <f t="shared" si="2"/>
        <v>61</v>
      </c>
      <c r="B64" s="16" t="s">
        <v>97</v>
      </c>
      <c r="C64" s="16" t="s">
        <v>98</v>
      </c>
      <c r="D64" s="16" t="s">
        <v>65</v>
      </c>
      <c r="E64" s="16" t="s">
        <v>66</v>
      </c>
      <c r="F64" s="16" t="s">
        <v>67</v>
      </c>
      <c r="G64" s="18"/>
      <c r="H64" s="18" t="s">
        <v>306</v>
      </c>
      <c r="I64" s="32">
        <v>45455</v>
      </c>
      <c r="J64" s="32">
        <v>45273</v>
      </c>
      <c r="K64" s="32">
        <v>45231</v>
      </c>
      <c r="L64" s="16"/>
      <c r="M64" s="16"/>
      <c r="N64" s="18" t="s">
        <v>313</v>
      </c>
      <c r="O64" s="22" t="s">
        <v>328</v>
      </c>
      <c r="P64" s="22" t="s">
        <v>78</v>
      </c>
      <c r="Q64" s="22"/>
      <c r="R64" s="22"/>
      <c r="S64" s="22"/>
      <c r="T64" s="22"/>
      <c r="U64" s="33">
        <v>45297</v>
      </c>
      <c r="V64" s="19" t="s">
        <v>265</v>
      </c>
      <c r="W64" s="19" t="s">
        <v>335</v>
      </c>
      <c r="X64" s="20"/>
      <c r="Y64" s="19"/>
      <c r="Z64" s="21">
        <v>265</v>
      </c>
      <c r="AA64" s="36" cm="1">
        <f t="array" ref="AA64">Vorlauf(Tabelle13[[#This Row],[Anbieter]])</f>
        <v>6</v>
      </c>
      <c r="AB64" s="37">
        <f>IFERROR(EDATE(Tabelle13[[#This Row],[Vertragsende]], -Tabelle13[[#This Row],[Vorlauf]]) + 1,"")</f>
        <v>45273</v>
      </c>
      <c r="AC64" s="37">
        <f>IFERROR(EDATE(Tabelle13[[#This Row],[Vertragsende]], -Tabelle13[[#This Row],[Vorlauf]] - 1) + 1,"")</f>
        <v>45243</v>
      </c>
    </row>
    <row r="65" spans="1:29" x14ac:dyDescent="0.25">
      <c r="A65" s="35">
        <f t="shared" si="2"/>
        <v>62</v>
      </c>
      <c r="B65" s="16" t="s">
        <v>224</v>
      </c>
      <c r="C65" s="16" t="s">
        <v>225</v>
      </c>
      <c r="D65" s="16" t="s">
        <v>65</v>
      </c>
      <c r="E65" s="16" t="s">
        <v>66</v>
      </c>
      <c r="F65" s="16" t="s">
        <v>67</v>
      </c>
      <c r="G65" s="18"/>
      <c r="H65" s="18"/>
      <c r="I65" s="32">
        <v>45468</v>
      </c>
      <c r="J65" s="32">
        <v>45286</v>
      </c>
      <c r="K65" s="32">
        <v>45231</v>
      </c>
      <c r="L65" s="16"/>
      <c r="M65" s="16"/>
      <c r="N65" s="18" t="s">
        <v>313</v>
      </c>
      <c r="O65" s="22" t="s">
        <v>328</v>
      </c>
      <c r="P65" s="22" t="s">
        <v>161</v>
      </c>
      <c r="Q65" s="22"/>
      <c r="R65" s="22"/>
      <c r="S65" s="22"/>
      <c r="T65" s="22"/>
      <c r="U65" s="33">
        <v>45297</v>
      </c>
      <c r="V65" s="19" t="s">
        <v>161</v>
      </c>
      <c r="W65" s="19"/>
      <c r="X65" s="20"/>
      <c r="Y65" s="19"/>
      <c r="Z65" s="21">
        <v>165</v>
      </c>
      <c r="AA65" s="36" cm="1">
        <f t="array" ref="AA65">Vorlauf(Tabelle13[[#This Row],[Anbieter]])</f>
        <v>6</v>
      </c>
      <c r="AB65" s="37">
        <f>IFERROR(EDATE(Tabelle13[[#This Row],[Vertragsende]], -Tabelle13[[#This Row],[Vorlauf]]) + 1,"")</f>
        <v>45286</v>
      </c>
      <c r="AC65" s="37">
        <f>IFERROR(EDATE(Tabelle13[[#This Row],[Vertragsende]], -Tabelle13[[#This Row],[Vorlauf]] - 1) + 1,"")</f>
        <v>45256</v>
      </c>
    </row>
    <row r="66" spans="1:29" x14ac:dyDescent="0.25">
      <c r="A66" s="35">
        <f t="shared" si="2"/>
        <v>63</v>
      </c>
      <c r="B66" s="16" t="s">
        <v>226</v>
      </c>
      <c r="C66" s="16" t="s">
        <v>227</v>
      </c>
      <c r="D66" s="16" t="s">
        <v>65</v>
      </c>
      <c r="E66" s="16" t="s">
        <v>66</v>
      </c>
      <c r="F66" s="16" t="s">
        <v>67</v>
      </c>
      <c r="G66" s="18"/>
      <c r="H66" s="18"/>
      <c r="I66" s="32">
        <v>45468</v>
      </c>
      <c r="J66" s="32">
        <v>45286</v>
      </c>
      <c r="K66" s="32">
        <v>45231</v>
      </c>
      <c r="L66" s="16"/>
      <c r="M66" s="16"/>
      <c r="N66" s="18" t="s">
        <v>313</v>
      </c>
      <c r="O66" s="22" t="s">
        <v>328</v>
      </c>
      <c r="P66" s="22" t="s">
        <v>161</v>
      </c>
      <c r="Q66" s="22"/>
      <c r="R66" s="22"/>
      <c r="S66" s="22"/>
      <c r="T66" s="22"/>
      <c r="U66" s="33">
        <v>45297</v>
      </c>
      <c r="V66" s="19" t="s">
        <v>161</v>
      </c>
      <c r="W66" s="19"/>
      <c r="X66" s="20"/>
      <c r="Y66" s="19"/>
      <c r="Z66" s="21">
        <v>165</v>
      </c>
      <c r="AA66" s="36" cm="1">
        <f t="array" ref="AA66">Vorlauf(Tabelle13[[#This Row],[Anbieter]])</f>
        <v>6</v>
      </c>
      <c r="AB66" s="37">
        <f>IFERROR(EDATE(Tabelle13[[#This Row],[Vertragsende]], -Tabelle13[[#This Row],[Vorlauf]]) + 1,"")</f>
        <v>45286</v>
      </c>
      <c r="AC66" s="37">
        <f>IFERROR(EDATE(Tabelle13[[#This Row],[Vertragsende]], -Tabelle13[[#This Row],[Vorlauf]] - 1) + 1,"")</f>
        <v>45256</v>
      </c>
    </row>
    <row r="67" spans="1:29" x14ac:dyDescent="0.25">
      <c r="A67" s="35">
        <f t="shared" si="2"/>
        <v>64</v>
      </c>
      <c r="B67" s="16" t="s">
        <v>228</v>
      </c>
      <c r="C67" s="16" t="s">
        <v>229</v>
      </c>
      <c r="D67" s="16" t="s">
        <v>65</v>
      </c>
      <c r="E67" s="16" t="s">
        <v>66</v>
      </c>
      <c r="F67" s="16" t="s">
        <v>67</v>
      </c>
      <c r="G67" s="18"/>
      <c r="H67" s="18"/>
      <c r="I67" s="32">
        <v>45468</v>
      </c>
      <c r="J67" s="32">
        <v>45286</v>
      </c>
      <c r="K67" s="32">
        <v>45231</v>
      </c>
      <c r="L67" s="16"/>
      <c r="M67" s="16"/>
      <c r="N67" s="18" t="s">
        <v>313</v>
      </c>
      <c r="O67" s="22" t="s">
        <v>328</v>
      </c>
      <c r="P67" s="22" t="s">
        <v>161</v>
      </c>
      <c r="Q67" s="22"/>
      <c r="R67" s="22"/>
      <c r="S67" s="22"/>
      <c r="T67" s="22"/>
      <c r="U67" s="33">
        <v>45297</v>
      </c>
      <c r="V67" s="19" t="s">
        <v>161</v>
      </c>
      <c r="W67" s="19"/>
      <c r="X67" s="20"/>
      <c r="Y67" s="19"/>
      <c r="Z67" s="21">
        <v>165</v>
      </c>
      <c r="AA67" s="36" cm="1">
        <f t="array" ref="AA67">Vorlauf(Tabelle13[[#This Row],[Anbieter]])</f>
        <v>6</v>
      </c>
      <c r="AB67" s="37">
        <f>IFERROR(EDATE(Tabelle13[[#This Row],[Vertragsende]], -Tabelle13[[#This Row],[Vorlauf]]) + 1,"")</f>
        <v>45286</v>
      </c>
      <c r="AC67" s="37">
        <f>IFERROR(EDATE(Tabelle13[[#This Row],[Vertragsende]], -Tabelle13[[#This Row],[Vorlauf]] - 1) + 1,"")</f>
        <v>45256</v>
      </c>
    </row>
    <row r="68" spans="1:29" x14ac:dyDescent="0.25">
      <c r="A68" s="35">
        <f t="shared" si="2"/>
        <v>65</v>
      </c>
      <c r="B68" s="16" t="s">
        <v>230</v>
      </c>
      <c r="C68" s="16" t="s">
        <v>231</v>
      </c>
      <c r="D68" s="16" t="s">
        <v>65</v>
      </c>
      <c r="E68" s="16" t="s">
        <v>66</v>
      </c>
      <c r="F68" s="16" t="s">
        <v>67</v>
      </c>
      <c r="G68" s="18"/>
      <c r="H68" s="18"/>
      <c r="I68" s="32">
        <v>45468</v>
      </c>
      <c r="J68" s="32">
        <v>45286</v>
      </c>
      <c r="K68" s="32">
        <v>45231</v>
      </c>
      <c r="L68" s="16"/>
      <c r="M68" s="16"/>
      <c r="N68" s="18" t="s">
        <v>313</v>
      </c>
      <c r="O68" s="22" t="s">
        <v>328</v>
      </c>
      <c r="P68" s="22" t="s">
        <v>161</v>
      </c>
      <c r="Q68" s="22"/>
      <c r="R68" s="22"/>
      <c r="S68" s="22"/>
      <c r="T68" s="22"/>
      <c r="U68" s="33">
        <v>45297</v>
      </c>
      <c r="V68" s="19" t="s">
        <v>161</v>
      </c>
      <c r="W68" s="19"/>
      <c r="X68" s="20"/>
      <c r="Y68" s="19"/>
      <c r="Z68" s="21">
        <v>165</v>
      </c>
      <c r="AA68" s="36" cm="1">
        <f t="array" ref="AA68">Vorlauf(Tabelle13[[#This Row],[Anbieter]])</f>
        <v>6</v>
      </c>
      <c r="AB68" s="37">
        <f>IFERROR(EDATE(Tabelle13[[#This Row],[Vertragsende]], -Tabelle13[[#This Row],[Vorlauf]]) + 1,"")</f>
        <v>45286</v>
      </c>
      <c r="AC68" s="37">
        <f>IFERROR(EDATE(Tabelle13[[#This Row],[Vertragsende]], -Tabelle13[[#This Row],[Vorlauf]] - 1) + 1,"")</f>
        <v>45256</v>
      </c>
    </row>
    <row r="69" spans="1:29" x14ac:dyDescent="0.25">
      <c r="A69" s="35">
        <f t="shared" si="2"/>
        <v>66</v>
      </c>
      <c r="B69" s="16" t="s">
        <v>232</v>
      </c>
      <c r="C69" s="16" t="s">
        <v>233</v>
      </c>
      <c r="D69" s="16" t="s">
        <v>65</v>
      </c>
      <c r="E69" s="16" t="s">
        <v>66</v>
      </c>
      <c r="F69" s="16" t="s">
        <v>67</v>
      </c>
      <c r="G69" s="18"/>
      <c r="H69" s="18"/>
      <c r="I69" s="32">
        <v>45468</v>
      </c>
      <c r="J69" s="32">
        <v>45286</v>
      </c>
      <c r="K69" s="32">
        <v>45231</v>
      </c>
      <c r="L69" s="16"/>
      <c r="M69" s="16"/>
      <c r="N69" s="18" t="s">
        <v>313</v>
      </c>
      <c r="O69" s="22" t="s">
        <v>328</v>
      </c>
      <c r="P69" s="22" t="s">
        <v>161</v>
      </c>
      <c r="Q69" s="22"/>
      <c r="R69" s="22"/>
      <c r="S69" s="22"/>
      <c r="T69" s="22"/>
      <c r="U69" s="33">
        <v>45297</v>
      </c>
      <c r="V69" s="19" t="s">
        <v>161</v>
      </c>
      <c r="W69" s="19"/>
      <c r="X69" s="20"/>
      <c r="Y69" s="19"/>
      <c r="Z69" s="21">
        <v>165</v>
      </c>
      <c r="AA69" s="36" cm="1">
        <f t="array" ref="AA69">Vorlauf(Tabelle13[[#This Row],[Anbieter]])</f>
        <v>6</v>
      </c>
      <c r="AB69" s="37">
        <f>IFERROR(EDATE(Tabelle13[[#This Row],[Vertragsende]], -Tabelle13[[#This Row],[Vorlauf]]) + 1,"")</f>
        <v>45286</v>
      </c>
      <c r="AC69" s="37">
        <f>IFERROR(EDATE(Tabelle13[[#This Row],[Vertragsende]], -Tabelle13[[#This Row],[Vorlauf]] - 1) + 1,"")</f>
        <v>45256</v>
      </c>
    </row>
    <row r="70" spans="1:29" x14ac:dyDescent="0.25">
      <c r="A70" s="35">
        <f t="shared" ref="A70:A92" si="3">ROW()-3</f>
        <v>67</v>
      </c>
      <c r="B70" s="16" t="s">
        <v>99</v>
      </c>
      <c r="C70" s="16" t="s">
        <v>100</v>
      </c>
      <c r="D70" s="16" t="s">
        <v>336</v>
      </c>
      <c r="E70" s="16" t="s">
        <v>66</v>
      </c>
      <c r="F70" s="16" t="s">
        <v>337</v>
      </c>
      <c r="G70" s="18"/>
      <c r="H70" s="18"/>
      <c r="I70" s="32">
        <v>45477</v>
      </c>
      <c r="J70" s="32">
        <v>45296</v>
      </c>
      <c r="K70" s="32">
        <v>45261</v>
      </c>
      <c r="L70" s="16"/>
      <c r="M70" s="16"/>
      <c r="N70" s="18" t="s">
        <v>313</v>
      </c>
      <c r="O70" s="22" t="s">
        <v>328</v>
      </c>
      <c r="P70" s="22" t="s">
        <v>78</v>
      </c>
      <c r="Q70" s="22"/>
      <c r="R70" s="22"/>
      <c r="S70" s="22"/>
      <c r="T70" s="22"/>
      <c r="U70" s="33">
        <v>45379</v>
      </c>
      <c r="V70" s="19" t="s">
        <v>338</v>
      </c>
      <c r="W70" s="19" t="s">
        <v>339</v>
      </c>
      <c r="X70" s="20"/>
      <c r="Y70" s="19"/>
      <c r="Z70" s="21">
        <v>460</v>
      </c>
      <c r="AA70" s="36" cm="1">
        <f t="array" ref="AA70">Vorlauf(Tabelle13[[#This Row],[Anbieter]])</f>
        <v>6</v>
      </c>
      <c r="AB70" s="37">
        <f>IFERROR(EDATE(Tabelle13[[#This Row],[Vertragsende]], -Tabelle13[[#This Row],[Vorlauf]]) + 1,"")</f>
        <v>45296</v>
      </c>
      <c r="AC70" s="37">
        <f>IFERROR(EDATE(Tabelle13[[#This Row],[Vertragsende]], -Tabelle13[[#This Row],[Vorlauf]] - 1) + 1,"")</f>
        <v>45265</v>
      </c>
    </row>
    <row r="71" spans="1:29" x14ac:dyDescent="0.25">
      <c r="A71" s="35">
        <f t="shared" si="3"/>
        <v>68</v>
      </c>
      <c r="B71" s="16" t="s">
        <v>102</v>
      </c>
      <c r="C71" s="16" t="s">
        <v>103</v>
      </c>
      <c r="D71" s="16" t="s">
        <v>336</v>
      </c>
      <c r="E71" s="16" t="s">
        <v>66</v>
      </c>
      <c r="F71" s="16" t="s">
        <v>337</v>
      </c>
      <c r="G71" s="18"/>
      <c r="H71" s="18" t="s">
        <v>306</v>
      </c>
      <c r="I71" s="32">
        <v>45485</v>
      </c>
      <c r="J71" s="32">
        <v>45304</v>
      </c>
      <c r="K71" s="32">
        <v>45261</v>
      </c>
      <c r="L71" s="16"/>
      <c r="M71" s="16"/>
      <c r="N71" s="18" t="s">
        <v>313</v>
      </c>
      <c r="O71" s="22" t="s">
        <v>328</v>
      </c>
      <c r="P71" s="22" t="s">
        <v>78</v>
      </c>
      <c r="Q71" s="22"/>
      <c r="R71" s="22"/>
      <c r="S71" s="22"/>
      <c r="T71" s="22"/>
      <c r="U71" s="33">
        <v>45379</v>
      </c>
      <c r="V71" s="19" t="s">
        <v>338</v>
      </c>
      <c r="W71" s="19"/>
      <c r="X71" s="20"/>
      <c r="Y71" s="19"/>
      <c r="Z71" s="21">
        <v>460</v>
      </c>
      <c r="AA71" s="36" cm="1">
        <f t="array" ref="AA71">Vorlauf(Tabelle13[[#This Row],[Anbieter]])</f>
        <v>6</v>
      </c>
      <c r="AB71" s="37">
        <f>IFERROR(EDATE(Tabelle13[[#This Row],[Vertragsende]], -Tabelle13[[#This Row],[Vorlauf]]) + 1,"")</f>
        <v>45304</v>
      </c>
      <c r="AC71" s="37">
        <f>IFERROR(EDATE(Tabelle13[[#This Row],[Vertragsende]], -Tabelle13[[#This Row],[Vorlauf]] - 1) + 1,"")</f>
        <v>45273</v>
      </c>
    </row>
    <row r="72" spans="1:29" x14ac:dyDescent="0.25">
      <c r="A72" s="35">
        <f t="shared" si="3"/>
        <v>69</v>
      </c>
      <c r="B72" s="16" t="s">
        <v>234</v>
      </c>
      <c r="C72" s="16" t="s">
        <v>235</v>
      </c>
      <c r="D72" s="16" t="s">
        <v>336</v>
      </c>
      <c r="E72" s="16" t="s">
        <v>66</v>
      </c>
      <c r="F72" s="16" t="s">
        <v>337</v>
      </c>
      <c r="G72" s="18"/>
      <c r="H72" s="18"/>
      <c r="I72" s="32">
        <v>45487</v>
      </c>
      <c r="J72" s="32">
        <v>45306</v>
      </c>
      <c r="K72" s="32">
        <v>45261</v>
      </c>
      <c r="L72" s="16"/>
      <c r="M72" s="16"/>
      <c r="N72" s="18" t="s">
        <v>313</v>
      </c>
      <c r="O72" s="22" t="s">
        <v>328</v>
      </c>
      <c r="P72" s="22" t="s">
        <v>78</v>
      </c>
      <c r="Q72" s="22"/>
      <c r="R72" s="22"/>
      <c r="S72" s="22"/>
      <c r="T72" s="22"/>
      <c r="U72" s="33">
        <v>45379</v>
      </c>
      <c r="V72" s="19" t="s">
        <v>338</v>
      </c>
      <c r="W72" s="19"/>
      <c r="X72" s="20"/>
      <c r="Y72" s="19"/>
      <c r="Z72" s="21">
        <v>460</v>
      </c>
      <c r="AA72" s="36" cm="1">
        <f t="array" ref="AA72">Vorlauf(Tabelle13[[#This Row],[Anbieter]])</f>
        <v>6</v>
      </c>
      <c r="AB72" s="37">
        <f>IFERROR(EDATE(Tabelle13[[#This Row],[Vertragsende]], -Tabelle13[[#This Row],[Vorlauf]]) + 1,"")</f>
        <v>45306</v>
      </c>
      <c r="AC72" s="37">
        <f>IFERROR(EDATE(Tabelle13[[#This Row],[Vertragsende]], -Tabelle13[[#This Row],[Vorlauf]] - 1) + 1,"")</f>
        <v>45275</v>
      </c>
    </row>
    <row r="73" spans="1:29" x14ac:dyDescent="0.25">
      <c r="A73" s="35">
        <f t="shared" si="3"/>
        <v>70</v>
      </c>
      <c r="B73" s="16" t="s">
        <v>236</v>
      </c>
      <c r="C73" s="16" t="s">
        <v>237</v>
      </c>
      <c r="D73" s="16" t="s">
        <v>336</v>
      </c>
      <c r="E73" s="16" t="s">
        <v>66</v>
      </c>
      <c r="F73" s="16" t="s">
        <v>337</v>
      </c>
      <c r="G73" s="18"/>
      <c r="H73" s="18" t="s">
        <v>306</v>
      </c>
      <c r="I73" s="32">
        <v>45522</v>
      </c>
      <c r="J73" s="32">
        <v>45341</v>
      </c>
      <c r="K73" s="32">
        <v>45292</v>
      </c>
      <c r="L73" s="16"/>
      <c r="M73" s="16"/>
      <c r="N73" s="18" t="s">
        <v>313</v>
      </c>
      <c r="O73" s="22" t="s">
        <v>328</v>
      </c>
      <c r="P73" s="22" t="s">
        <v>78</v>
      </c>
      <c r="Q73" s="22"/>
      <c r="R73" s="22"/>
      <c r="S73" s="22"/>
      <c r="T73" s="22"/>
      <c r="U73" s="33">
        <v>45379</v>
      </c>
      <c r="V73" s="19" t="s">
        <v>338</v>
      </c>
      <c r="W73" s="19"/>
      <c r="X73" s="20"/>
      <c r="Y73" s="19"/>
      <c r="Z73" s="21">
        <v>460</v>
      </c>
      <c r="AA73" s="36" cm="1">
        <f t="array" ref="AA73">Vorlauf(Tabelle13[[#This Row],[Anbieter]])</f>
        <v>6</v>
      </c>
      <c r="AB73" s="37">
        <f>IFERROR(EDATE(Tabelle13[[#This Row],[Vertragsende]], -Tabelle13[[#This Row],[Vorlauf]]) + 1,"")</f>
        <v>45341</v>
      </c>
      <c r="AC73" s="37">
        <f>IFERROR(EDATE(Tabelle13[[#This Row],[Vertragsende]], -Tabelle13[[#This Row],[Vorlauf]] - 1) + 1,"")</f>
        <v>45310</v>
      </c>
    </row>
    <row r="74" spans="1:29" x14ac:dyDescent="0.25">
      <c r="A74" s="35">
        <f t="shared" si="3"/>
        <v>71</v>
      </c>
      <c r="B74" s="16" t="s">
        <v>238</v>
      </c>
      <c r="C74" s="16" t="s">
        <v>239</v>
      </c>
      <c r="D74" s="16" t="s">
        <v>336</v>
      </c>
      <c r="E74" s="16" t="s">
        <v>66</v>
      </c>
      <c r="F74" s="16" t="s">
        <v>337</v>
      </c>
      <c r="G74" s="18"/>
      <c r="H74" s="18" t="s">
        <v>306</v>
      </c>
      <c r="I74" s="32">
        <v>45528</v>
      </c>
      <c r="J74" s="32">
        <v>45347</v>
      </c>
      <c r="K74" s="32">
        <v>45292</v>
      </c>
      <c r="L74" s="16"/>
      <c r="M74" s="16"/>
      <c r="N74" s="18" t="s">
        <v>313</v>
      </c>
      <c r="O74" s="22" t="s">
        <v>328</v>
      </c>
      <c r="P74" s="22" t="s">
        <v>78</v>
      </c>
      <c r="Q74" s="22"/>
      <c r="R74" s="22"/>
      <c r="S74" s="22"/>
      <c r="T74" s="22"/>
      <c r="U74" s="33">
        <v>45379</v>
      </c>
      <c r="V74" s="19" t="s">
        <v>338</v>
      </c>
      <c r="W74" s="19"/>
      <c r="X74" s="20"/>
      <c r="Y74" s="19"/>
      <c r="Z74" s="21">
        <v>420</v>
      </c>
      <c r="AA74" s="36" cm="1">
        <f t="array" ref="AA74">Vorlauf(Tabelle13[[#This Row],[Anbieter]])</f>
        <v>6</v>
      </c>
      <c r="AB74" s="37">
        <f>IFERROR(EDATE(Tabelle13[[#This Row],[Vertragsende]], -Tabelle13[[#This Row],[Vorlauf]]) + 1,"")</f>
        <v>45347</v>
      </c>
      <c r="AC74" s="37">
        <f>IFERROR(EDATE(Tabelle13[[#This Row],[Vertragsende]], -Tabelle13[[#This Row],[Vorlauf]] - 1) + 1,"")</f>
        <v>45316</v>
      </c>
    </row>
    <row r="75" spans="1:29" x14ac:dyDescent="0.25">
      <c r="A75" s="35">
        <f t="shared" si="3"/>
        <v>72</v>
      </c>
      <c r="B75" s="16" t="s">
        <v>240</v>
      </c>
      <c r="C75" s="16" t="s">
        <v>241</v>
      </c>
      <c r="D75" s="16" t="s">
        <v>336</v>
      </c>
      <c r="E75" s="16" t="s">
        <v>66</v>
      </c>
      <c r="F75" s="16" t="s">
        <v>337</v>
      </c>
      <c r="G75" s="18"/>
      <c r="H75" s="18"/>
      <c r="I75" s="32">
        <v>45534</v>
      </c>
      <c r="J75" s="32">
        <v>45350</v>
      </c>
      <c r="K75" s="32">
        <v>45292</v>
      </c>
      <c r="L75" s="16"/>
      <c r="M75" s="16"/>
      <c r="N75" s="18" t="s">
        <v>313</v>
      </c>
      <c r="O75" s="22" t="s">
        <v>328</v>
      </c>
      <c r="P75" s="22" t="s">
        <v>78</v>
      </c>
      <c r="Q75" s="22"/>
      <c r="R75" s="22"/>
      <c r="S75" s="22"/>
      <c r="T75" s="22"/>
      <c r="U75" s="33">
        <v>45379</v>
      </c>
      <c r="V75" s="19" t="s">
        <v>338</v>
      </c>
      <c r="W75" s="19"/>
      <c r="X75" s="20"/>
      <c r="Y75" s="19"/>
      <c r="Z75" s="21">
        <v>420</v>
      </c>
      <c r="AA75" s="36" cm="1">
        <f t="array" ref="AA75">Vorlauf(Tabelle13[[#This Row],[Anbieter]])</f>
        <v>6</v>
      </c>
      <c r="AB75" s="37">
        <f>IFERROR(EDATE(Tabelle13[[#This Row],[Vertragsende]], -Tabelle13[[#This Row],[Vorlauf]]) + 1,"")</f>
        <v>45352</v>
      </c>
      <c r="AC75" s="37">
        <f>IFERROR(EDATE(Tabelle13[[#This Row],[Vertragsende]], -Tabelle13[[#This Row],[Vorlauf]] - 1) + 1,"")</f>
        <v>45322</v>
      </c>
    </row>
    <row r="76" spans="1:29" x14ac:dyDescent="0.25">
      <c r="A76" s="35">
        <f t="shared" si="3"/>
        <v>73</v>
      </c>
      <c r="B76" s="16" t="s">
        <v>252</v>
      </c>
      <c r="C76" s="16" t="s">
        <v>340</v>
      </c>
      <c r="D76" s="16" t="s">
        <v>336</v>
      </c>
      <c r="E76" s="16" t="s">
        <v>66</v>
      </c>
      <c r="F76" s="16" t="s">
        <v>337</v>
      </c>
      <c r="G76" s="18"/>
      <c r="H76" s="18"/>
      <c r="I76" s="32">
        <v>45564</v>
      </c>
      <c r="J76" s="32">
        <v>45381</v>
      </c>
      <c r="K76" s="32">
        <v>45323</v>
      </c>
      <c r="L76" s="16"/>
      <c r="M76" s="16"/>
      <c r="N76" s="18" t="s">
        <v>313</v>
      </c>
      <c r="O76" s="22" t="s">
        <v>328</v>
      </c>
      <c r="P76" s="22" t="s">
        <v>78</v>
      </c>
      <c r="Q76" s="22"/>
      <c r="R76" s="22"/>
      <c r="S76" s="22"/>
      <c r="T76" s="22"/>
      <c r="U76" s="33">
        <v>45420</v>
      </c>
      <c r="V76" s="19" t="s">
        <v>338</v>
      </c>
      <c r="W76" s="19"/>
      <c r="X76" s="20"/>
      <c r="Y76" s="19"/>
      <c r="Z76" s="21">
        <v>460</v>
      </c>
      <c r="AA76" s="36" cm="1">
        <f t="array" ref="AA76">Vorlauf(Tabelle13[[#This Row],[Anbieter]])</f>
        <v>6</v>
      </c>
      <c r="AB76" s="37">
        <f>IFERROR(EDATE(Tabelle13[[#This Row],[Vertragsende]], -Tabelle13[[#This Row],[Vorlauf]]) + 1,"")</f>
        <v>45381</v>
      </c>
      <c r="AC76" s="37">
        <f>IFERROR(EDATE(Tabelle13[[#This Row],[Vertragsende]], -Tabelle13[[#This Row],[Vorlauf]] - 1) + 1,"")</f>
        <v>45352</v>
      </c>
    </row>
    <row r="77" spans="1:29" x14ac:dyDescent="0.25">
      <c r="A77" s="35">
        <f t="shared" si="3"/>
        <v>74</v>
      </c>
      <c r="B77" s="16" t="s">
        <v>242</v>
      </c>
      <c r="C77" s="16" t="s">
        <v>243</v>
      </c>
      <c r="D77" s="16" t="s">
        <v>336</v>
      </c>
      <c r="E77" s="16" t="s">
        <v>66</v>
      </c>
      <c r="F77" s="16" t="s">
        <v>337</v>
      </c>
      <c r="G77" s="18"/>
      <c r="H77" s="18"/>
      <c r="I77" s="32">
        <v>45597</v>
      </c>
      <c r="J77" s="32">
        <v>45414</v>
      </c>
      <c r="K77" s="32">
        <v>45383</v>
      </c>
      <c r="L77" s="16"/>
      <c r="M77" s="16"/>
      <c r="N77" s="18" t="s">
        <v>313</v>
      </c>
      <c r="O77" s="22" t="s">
        <v>328</v>
      </c>
      <c r="P77" s="22" t="s">
        <v>78</v>
      </c>
      <c r="Q77" s="22"/>
      <c r="R77" s="22"/>
      <c r="S77" s="22"/>
      <c r="T77" s="22"/>
      <c r="U77" s="33">
        <v>45420</v>
      </c>
      <c r="V77" s="19" t="s">
        <v>338</v>
      </c>
      <c r="W77" s="19"/>
      <c r="X77" s="20"/>
      <c r="Y77" s="19"/>
      <c r="Z77" s="21">
        <v>460</v>
      </c>
      <c r="AA77" s="36" cm="1">
        <f t="array" ref="AA77">Vorlauf(Tabelle13[[#This Row],[Anbieter]])</f>
        <v>6</v>
      </c>
      <c r="AB77" s="37">
        <f>IFERROR(EDATE(Tabelle13[[#This Row],[Vertragsende]], -Tabelle13[[#This Row],[Vorlauf]]) + 1,"")</f>
        <v>45414</v>
      </c>
      <c r="AC77" s="37">
        <f>IFERROR(EDATE(Tabelle13[[#This Row],[Vertragsende]], -Tabelle13[[#This Row],[Vorlauf]] - 1) + 1,"")</f>
        <v>45384</v>
      </c>
    </row>
    <row r="78" spans="1:29" x14ac:dyDescent="0.25">
      <c r="A78" s="35">
        <f t="shared" si="3"/>
        <v>75</v>
      </c>
      <c r="B78" s="16" t="s">
        <v>245</v>
      </c>
      <c r="C78" s="16" t="s">
        <v>246</v>
      </c>
      <c r="D78" s="16" t="s">
        <v>336</v>
      </c>
      <c r="E78" s="16" t="s">
        <v>66</v>
      </c>
      <c r="F78" s="16" t="s">
        <v>337</v>
      </c>
      <c r="G78" s="18"/>
      <c r="H78" s="18"/>
      <c r="I78" s="32">
        <v>45633</v>
      </c>
      <c r="J78" s="32">
        <v>45451</v>
      </c>
      <c r="K78" s="32">
        <v>45413</v>
      </c>
      <c r="L78" s="16"/>
      <c r="M78" s="16"/>
      <c r="N78" s="18" t="s">
        <v>313</v>
      </c>
      <c r="O78" s="22" t="s">
        <v>328</v>
      </c>
      <c r="P78" s="22" t="s">
        <v>161</v>
      </c>
      <c r="Q78" s="22"/>
      <c r="R78" s="22"/>
      <c r="S78" s="22"/>
      <c r="T78" s="22"/>
      <c r="U78" s="33">
        <v>45496</v>
      </c>
      <c r="V78" s="19" t="s">
        <v>161</v>
      </c>
      <c r="W78" s="19" t="s">
        <v>341</v>
      </c>
      <c r="X78" s="20"/>
      <c r="Y78" s="19"/>
      <c r="Z78" s="21">
        <v>36</v>
      </c>
      <c r="AA78" s="36" cm="1">
        <f t="array" ref="AA78">Vorlauf(Tabelle13[[#This Row],[Anbieter]])</f>
        <v>6</v>
      </c>
      <c r="AB78" s="37">
        <f>IFERROR(EDATE(Tabelle13[[#This Row],[Vertragsende]], -Tabelle13[[#This Row],[Vorlauf]]) + 1,"")</f>
        <v>45451</v>
      </c>
      <c r="AC78" s="37">
        <f>IFERROR(EDATE(Tabelle13[[#This Row],[Vertragsende]], -Tabelle13[[#This Row],[Vorlauf]] - 1) + 1,"")</f>
        <v>45420</v>
      </c>
    </row>
    <row r="79" spans="1:29" x14ac:dyDescent="0.25">
      <c r="A79" s="35">
        <f t="shared" si="3"/>
        <v>76</v>
      </c>
      <c r="B79" s="16" t="s">
        <v>105</v>
      </c>
      <c r="C79" s="16" t="s">
        <v>106</v>
      </c>
      <c r="D79" s="16" t="s">
        <v>336</v>
      </c>
      <c r="E79" s="16" t="s">
        <v>66</v>
      </c>
      <c r="F79" s="16" t="s">
        <v>337</v>
      </c>
      <c r="G79" s="18"/>
      <c r="H79" s="18"/>
      <c r="I79" s="32">
        <v>45637</v>
      </c>
      <c r="J79" s="32">
        <v>45455</v>
      </c>
      <c r="K79" s="32">
        <v>45413</v>
      </c>
      <c r="L79" s="16"/>
      <c r="M79" s="16"/>
      <c r="N79" s="18" t="s">
        <v>313</v>
      </c>
      <c r="O79" s="22" t="s">
        <v>328</v>
      </c>
      <c r="P79" s="22" t="s">
        <v>78</v>
      </c>
      <c r="Q79" s="22"/>
      <c r="R79" s="22"/>
      <c r="S79" s="22"/>
      <c r="T79" s="22"/>
      <c r="U79" s="33">
        <v>45488</v>
      </c>
      <c r="V79" s="19" t="s">
        <v>338</v>
      </c>
      <c r="W79" s="19" t="s">
        <v>342</v>
      </c>
      <c r="X79" s="20"/>
      <c r="Y79" s="19"/>
      <c r="Z79" s="21">
        <v>460</v>
      </c>
      <c r="AA79" s="36" cm="1">
        <f t="array" ref="AA79">Vorlauf(Tabelle13[[#This Row],[Anbieter]])</f>
        <v>6</v>
      </c>
      <c r="AB79" s="37">
        <f>IFERROR(EDATE(Tabelle13[[#This Row],[Vertragsende]], -Tabelle13[[#This Row],[Vorlauf]]) + 1,"")</f>
        <v>45455</v>
      </c>
      <c r="AC79" s="37">
        <f>IFERROR(EDATE(Tabelle13[[#This Row],[Vertragsende]], -Tabelle13[[#This Row],[Vorlauf]] - 1) + 1,"")</f>
        <v>45424</v>
      </c>
    </row>
    <row r="80" spans="1:29" x14ac:dyDescent="0.25">
      <c r="A80" s="35">
        <f t="shared" si="3"/>
        <v>77</v>
      </c>
      <c r="B80" s="16" t="s">
        <v>108</v>
      </c>
      <c r="C80" s="16" t="s">
        <v>109</v>
      </c>
      <c r="D80" s="16" t="s">
        <v>336</v>
      </c>
      <c r="E80" s="16" t="s">
        <v>66</v>
      </c>
      <c r="F80" s="16" t="s">
        <v>337</v>
      </c>
      <c r="G80" s="18"/>
      <c r="H80" s="18"/>
      <c r="I80" s="32">
        <v>45665</v>
      </c>
      <c r="J80" s="32">
        <v>45482</v>
      </c>
      <c r="K80" s="32">
        <v>45444</v>
      </c>
      <c r="L80" s="16"/>
      <c r="M80" s="16"/>
      <c r="N80" s="18" t="s">
        <v>313</v>
      </c>
      <c r="O80" s="22" t="s">
        <v>328</v>
      </c>
      <c r="P80" s="22" t="s">
        <v>78</v>
      </c>
      <c r="Q80" s="22"/>
      <c r="R80" s="22"/>
      <c r="S80" s="22"/>
      <c r="T80" s="22"/>
      <c r="U80" s="33">
        <v>45496</v>
      </c>
      <c r="V80" s="19" t="s">
        <v>338</v>
      </c>
      <c r="W80" s="19" t="s">
        <v>343</v>
      </c>
      <c r="X80" s="20"/>
      <c r="Y80" s="19"/>
      <c r="Z80" s="21">
        <v>420</v>
      </c>
      <c r="AA80" s="36" cm="1">
        <f t="array" ref="AA80">Vorlauf(Tabelle13[[#This Row],[Anbieter]])</f>
        <v>6</v>
      </c>
      <c r="AB80" s="37">
        <f>IFERROR(EDATE(Tabelle13[[#This Row],[Vertragsende]], -Tabelle13[[#This Row],[Vorlauf]]) + 1,"")</f>
        <v>45482</v>
      </c>
      <c r="AC80" s="37">
        <f>IFERROR(EDATE(Tabelle13[[#This Row],[Vertragsende]], -Tabelle13[[#This Row],[Vorlauf]] - 1) + 1,"")</f>
        <v>45452</v>
      </c>
    </row>
    <row r="81" spans="1:29" x14ac:dyDescent="0.25">
      <c r="A81" s="35">
        <f t="shared" si="3"/>
        <v>78</v>
      </c>
      <c r="B81" s="16" t="s">
        <v>111</v>
      </c>
      <c r="C81" s="16" t="s">
        <v>112</v>
      </c>
      <c r="D81" s="16" t="s">
        <v>336</v>
      </c>
      <c r="E81" s="16" t="s">
        <v>66</v>
      </c>
      <c r="F81" s="16" t="s">
        <v>337</v>
      </c>
      <c r="G81" s="18"/>
      <c r="H81" s="18" t="s">
        <v>306</v>
      </c>
      <c r="I81" s="32">
        <v>45675</v>
      </c>
      <c r="J81" s="32">
        <v>45492</v>
      </c>
      <c r="K81" s="32">
        <v>45444</v>
      </c>
      <c r="L81" s="16"/>
      <c r="M81" s="16"/>
      <c r="N81" s="18" t="s">
        <v>313</v>
      </c>
      <c r="O81" s="22" t="s">
        <v>328</v>
      </c>
      <c r="P81" s="22" t="s">
        <v>78</v>
      </c>
      <c r="Q81" s="22"/>
      <c r="R81" s="22"/>
      <c r="S81" s="22"/>
      <c r="T81" s="22"/>
      <c r="U81" s="33">
        <v>45496</v>
      </c>
      <c r="V81" s="19" t="s">
        <v>338</v>
      </c>
      <c r="W81" s="19"/>
      <c r="X81" s="20"/>
      <c r="Y81" s="19"/>
      <c r="Z81" s="21">
        <v>420</v>
      </c>
      <c r="AA81" s="36" cm="1">
        <f t="array" ref="AA81">Vorlauf(Tabelle13[[#This Row],[Anbieter]])</f>
        <v>6</v>
      </c>
      <c r="AB81" s="37">
        <f>IFERROR(EDATE(Tabelle13[[#This Row],[Vertragsende]], -Tabelle13[[#This Row],[Vorlauf]]) + 1,"")</f>
        <v>45492</v>
      </c>
      <c r="AC81" s="37">
        <f>IFERROR(EDATE(Tabelle13[[#This Row],[Vertragsende]], -Tabelle13[[#This Row],[Vorlauf]] - 1) + 1,"")</f>
        <v>45462</v>
      </c>
    </row>
    <row r="82" spans="1:29" x14ac:dyDescent="0.25">
      <c r="A82" s="35">
        <f t="shared" si="3"/>
        <v>79</v>
      </c>
      <c r="B82" s="16" t="s">
        <v>247</v>
      </c>
      <c r="C82" s="16" t="s">
        <v>248</v>
      </c>
      <c r="D82" s="16" t="s">
        <v>336</v>
      </c>
      <c r="E82" s="16" t="s">
        <v>66</v>
      </c>
      <c r="F82" s="16" t="s">
        <v>337</v>
      </c>
      <c r="G82" s="18"/>
      <c r="H82" s="18" t="s">
        <v>306</v>
      </c>
      <c r="I82" s="32">
        <v>45713</v>
      </c>
      <c r="J82" s="32">
        <v>45530</v>
      </c>
      <c r="K82" s="32">
        <v>45474</v>
      </c>
      <c r="L82" s="16"/>
      <c r="M82" s="16"/>
      <c r="N82" s="18" t="s">
        <v>313</v>
      </c>
      <c r="O82" s="22" t="s">
        <v>328</v>
      </c>
      <c r="P82" s="22" t="s">
        <v>338</v>
      </c>
      <c r="Q82" s="22"/>
      <c r="R82" s="22"/>
      <c r="S82" s="22"/>
      <c r="T82" s="22"/>
      <c r="U82" s="33">
        <v>45558</v>
      </c>
      <c r="V82" s="19" t="s">
        <v>344</v>
      </c>
      <c r="W82" s="19"/>
      <c r="X82" s="20"/>
      <c r="Y82" s="19"/>
      <c r="Z82" s="21">
        <v>540</v>
      </c>
      <c r="AA82" s="36" cm="1">
        <f t="array" ref="AA82">Vorlauf(Tabelle13[[#This Row],[Anbieter]])</f>
        <v>6</v>
      </c>
      <c r="AB82" s="37">
        <f>IFERROR(EDATE(Tabelle13[[#This Row],[Vertragsende]], -Tabelle13[[#This Row],[Vorlauf]]) + 1,"")</f>
        <v>45530</v>
      </c>
      <c r="AC82" s="37">
        <f>IFERROR(EDATE(Tabelle13[[#This Row],[Vertragsende]], -Tabelle13[[#This Row],[Vorlauf]] - 1) + 1,"")</f>
        <v>45499</v>
      </c>
    </row>
    <row r="83" spans="1:29" x14ac:dyDescent="0.25">
      <c r="A83" s="35">
        <f t="shared" si="3"/>
        <v>80</v>
      </c>
      <c r="B83" s="16" t="s">
        <v>250</v>
      </c>
      <c r="C83" s="16" t="s">
        <v>345</v>
      </c>
      <c r="D83" s="16" t="s">
        <v>336</v>
      </c>
      <c r="E83" s="16" t="s">
        <v>66</v>
      </c>
      <c r="F83" s="16" t="s">
        <v>337</v>
      </c>
      <c r="G83" s="18"/>
      <c r="H83" s="18" t="s">
        <v>306</v>
      </c>
      <c r="I83" s="32">
        <v>45713</v>
      </c>
      <c r="J83" s="32">
        <v>45530</v>
      </c>
      <c r="K83" s="32">
        <v>45474</v>
      </c>
      <c r="L83" s="16"/>
      <c r="M83" s="16"/>
      <c r="N83" s="18" t="s">
        <v>313</v>
      </c>
      <c r="O83" s="22" t="s">
        <v>328</v>
      </c>
      <c r="P83" s="22" t="s">
        <v>338</v>
      </c>
      <c r="Q83" s="22"/>
      <c r="R83" s="22"/>
      <c r="S83" s="22"/>
      <c r="T83" s="22"/>
      <c r="U83" s="33">
        <v>45558</v>
      </c>
      <c r="V83" s="19" t="s">
        <v>344</v>
      </c>
      <c r="W83" s="19"/>
      <c r="X83" s="20"/>
      <c r="Y83" s="19"/>
      <c r="Z83" s="21">
        <v>540</v>
      </c>
      <c r="AA83" s="36" cm="1">
        <f t="array" ref="AA83">Vorlauf(Tabelle13[[#This Row],[Anbieter]])</f>
        <v>6</v>
      </c>
      <c r="AB83" s="37">
        <f>IFERROR(EDATE(Tabelle13[[#This Row],[Vertragsende]], -Tabelle13[[#This Row],[Vorlauf]]) + 1,"")</f>
        <v>45530</v>
      </c>
      <c r="AC83" s="37">
        <f>IFERROR(EDATE(Tabelle13[[#This Row],[Vertragsende]], -Tabelle13[[#This Row],[Vorlauf]] - 1) + 1,"")</f>
        <v>45499</v>
      </c>
    </row>
    <row r="84" spans="1:29" x14ac:dyDescent="0.25">
      <c r="A84" s="35">
        <f t="shared" si="3"/>
        <v>81</v>
      </c>
      <c r="B84" s="16" t="s">
        <v>256</v>
      </c>
      <c r="C84" s="16" t="s">
        <v>257</v>
      </c>
      <c r="D84" s="16" t="s">
        <v>336</v>
      </c>
      <c r="E84" s="16" t="s">
        <v>66</v>
      </c>
      <c r="F84" s="16" t="s">
        <v>337</v>
      </c>
      <c r="G84" s="18"/>
      <c r="H84" s="18" t="s">
        <v>306</v>
      </c>
      <c r="I84" s="32">
        <v>45732</v>
      </c>
      <c r="J84" s="32">
        <v>45552</v>
      </c>
      <c r="K84" s="32">
        <v>45505</v>
      </c>
      <c r="L84" s="16"/>
      <c r="M84" s="16"/>
      <c r="N84" s="18" t="s">
        <v>313</v>
      </c>
      <c r="O84" s="22" t="s">
        <v>328</v>
      </c>
      <c r="P84" s="22" t="s">
        <v>78</v>
      </c>
      <c r="Q84" s="22"/>
      <c r="R84" s="22"/>
      <c r="S84" s="22"/>
      <c r="T84" s="22"/>
      <c r="U84" s="33">
        <v>45558</v>
      </c>
      <c r="V84" s="19" t="s">
        <v>338</v>
      </c>
      <c r="W84" s="19"/>
      <c r="X84" s="20"/>
      <c r="Y84" s="19"/>
      <c r="Z84" s="21">
        <v>420</v>
      </c>
      <c r="AA84" s="36" cm="1">
        <f t="array" ref="AA84">Vorlauf(Tabelle13[[#This Row],[Anbieter]])</f>
        <v>6</v>
      </c>
      <c r="AB84" s="37">
        <f>IFERROR(EDATE(Tabelle13[[#This Row],[Vertragsende]], -Tabelle13[[#This Row],[Vorlauf]]) + 1,"")</f>
        <v>45552</v>
      </c>
      <c r="AC84" s="37">
        <f>IFERROR(EDATE(Tabelle13[[#This Row],[Vertragsende]], -Tabelle13[[#This Row],[Vorlauf]] - 1) + 1,"")</f>
        <v>45521</v>
      </c>
    </row>
    <row r="85" spans="1:29" x14ac:dyDescent="0.25">
      <c r="A85" s="35">
        <f t="shared" si="3"/>
        <v>82</v>
      </c>
      <c r="B85" s="16" t="s">
        <v>258</v>
      </c>
      <c r="C85" s="16" t="s">
        <v>259</v>
      </c>
      <c r="D85" s="16" t="s">
        <v>336</v>
      </c>
      <c r="E85" s="16" t="s">
        <v>66</v>
      </c>
      <c r="F85" s="16" t="s">
        <v>337</v>
      </c>
      <c r="G85" s="18"/>
      <c r="H85" s="18" t="s">
        <v>306</v>
      </c>
      <c r="I85" s="32">
        <v>45782</v>
      </c>
      <c r="J85" s="32">
        <v>45602</v>
      </c>
      <c r="K85" s="32">
        <v>45566</v>
      </c>
      <c r="L85" s="16"/>
      <c r="M85" s="16"/>
      <c r="N85" s="18" t="s">
        <v>313</v>
      </c>
      <c r="O85" s="22" t="s">
        <v>328</v>
      </c>
      <c r="P85" s="22" t="s">
        <v>78</v>
      </c>
      <c r="Q85" s="22"/>
      <c r="R85" s="22"/>
      <c r="S85" s="22"/>
      <c r="T85" s="22"/>
      <c r="U85" s="33">
        <v>45666</v>
      </c>
      <c r="V85" s="19" t="s">
        <v>338</v>
      </c>
      <c r="W85" s="19" t="s">
        <v>346</v>
      </c>
      <c r="X85" s="20"/>
      <c r="Y85" s="19"/>
      <c r="Z85" s="21">
        <v>460</v>
      </c>
      <c r="AA85" s="36" cm="1">
        <f t="array" ref="AA85">Vorlauf(Tabelle13[[#This Row],[Anbieter]])</f>
        <v>6</v>
      </c>
      <c r="AB85" s="37">
        <f>IFERROR(EDATE(Tabelle13[[#This Row],[Vertragsende]], -Tabelle13[[#This Row],[Vorlauf]]) + 1,"")</f>
        <v>45602</v>
      </c>
      <c r="AC85" s="37">
        <f>IFERROR(EDATE(Tabelle13[[#This Row],[Vertragsende]], -Tabelle13[[#This Row],[Vorlauf]] - 1) + 1,"")</f>
        <v>45571</v>
      </c>
    </row>
    <row r="86" spans="1:29" x14ac:dyDescent="0.25">
      <c r="A86" s="35">
        <f t="shared" si="3"/>
        <v>83</v>
      </c>
      <c r="B86" s="16" t="s">
        <v>261</v>
      </c>
      <c r="C86" s="16" t="s">
        <v>262</v>
      </c>
      <c r="D86" s="16" t="s">
        <v>336</v>
      </c>
      <c r="E86" s="16" t="s">
        <v>66</v>
      </c>
      <c r="F86" s="16" t="s">
        <v>337</v>
      </c>
      <c r="G86" s="18"/>
      <c r="H86" s="18" t="s">
        <v>306</v>
      </c>
      <c r="I86" s="32">
        <v>45787</v>
      </c>
      <c r="J86" s="32">
        <v>45607</v>
      </c>
      <c r="K86" s="32">
        <v>45566</v>
      </c>
      <c r="L86" s="16"/>
      <c r="M86" s="16"/>
      <c r="N86" s="18" t="s">
        <v>313</v>
      </c>
      <c r="O86" s="22" t="s">
        <v>328</v>
      </c>
      <c r="P86" s="22" t="s">
        <v>78</v>
      </c>
      <c r="Q86" s="22"/>
      <c r="R86" s="22"/>
      <c r="S86" s="22"/>
      <c r="T86" s="22"/>
      <c r="U86" s="33">
        <v>45666</v>
      </c>
      <c r="V86" s="19" t="s">
        <v>338</v>
      </c>
      <c r="W86" s="19" t="s">
        <v>346</v>
      </c>
      <c r="X86" s="20"/>
      <c r="Y86" s="19"/>
      <c r="Z86" s="21">
        <v>420</v>
      </c>
      <c r="AA86" s="36" cm="1">
        <f t="array" ref="AA86">Vorlauf(Tabelle13[[#This Row],[Anbieter]])</f>
        <v>6</v>
      </c>
      <c r="AB86" s="37">
        <f>IFERROR(EDATE(Tabelle13[[#This Row],[Vertragsende]], -Tabelle13[[#This Row],[Vorlauf]]) + 1,"")</f>
        <v>45607</v>
      </c>
      <c r="AC86" s="37">
        <f>IFERROR(EDATE(Tabelle13[[#This Row],[Vertragsende]], -Tabelle13[[#This Row],[Vorlauf]] - 1) + 1,"")</f>
        <v>45576</v>
      </c>
    </row>
    <row r="87" spans="1:29" x14ac:dyDescent="0.25">
      <c r="A87" s="35">
        <f t="shared" si="3"/>
        <v>84</v>
      </c>
      <c r="B87" s="16" t="s">
        <v>114</v>
      </c>
      <c r="C87" s="16" t="s">
        <v>115</v>
      </c>
      <c r="D87" s="16" t="s">
        <v>336</v>
      </c>
      <c r="E87" s="16" t="s">
        <v>66</v>
      </c>
      <c r="F87" s="16" t="s">
        <v>337</v>
      </c>
      <c r="G87" s="18"/>
      <c r="H87" s="18"/>
      <c r="I87" s="32">
        <v>45862</v>
      </c>
      <c r="J87" s="32">
        <v>45682</v>
      </c>
      <c r="K87" s="32">
        <v>45627</v>
      </c>
      <c r="L87" s="16"/>
      <c r="M87" s="16"/>
      <c r="N87" s="18" t="s">
        <v>313</v>
      </c>
      <c r="O87" s="22" t="s">
        <v>328</v>
      </c>
      <c r="P87" s="22" t="s">
        <v>78</v>
      </c>
      <c r="Q87" s="22"/>
      <c r="R87" s="22"/>
      <c r="S87" s="22"/>
      <c r="T87" s="22"/>
      <c r="U87" s="33">
        <v>45733</v>
      </c>
      <c r="V87" s="19" t="s">
        <v>338</v>
      </c>
      <c r="W87" s="19"/>
      <c r="X87" s="20"/>
      <c r="Y87" s="19"/>
      <c r="Z87" s="21">
        <v>380</v>
      </c>
      <c r="AA87" s="36" cm="1">
        <f t="array" ref="AA87">Vorlauf(Tabelle13[[#This Row],[Anbieter]])</f>
        <v>6</v>
      </c>
      <c r="AB87" s="37">
        <f>IFERROR(EDATE(Tabelle13[[#This Row],[Vertragsende]], -Tabelle13[[#This Row],[Vorlauf]]) + 1,"")</f>
        <v>45682</v>
      </c>
      <c r="AC87" s="37">
        <f>IFERROR(EDATE(Tabelle13[[#This Row],[Vertragsende]], -Tabelle13[[#This Row],[Vorlauf]] - 1) + 1,"")</f>
        <v>45651</v>
      </c>
    </row>
    <row r="88" spans="1:29" x14ac:dyDescent="0.25">
      <c r="A88" s="35">
        <f t="shared" si="3"/>
        <v>85</v>
      </c>
      <c r="B88" s="16" t="s">
        <v>117</v>
      </c>
      <c r="C88" s="16" t="s">
        <v>118</v>
      </c>
      <c r="D88" s="16" t="s">
        <v>336</v>
      </c>
      <c r="E88" s="16" t="s">
        <v>66</v>
      </c>
      <c r="F88" s="16" t="s">
        <v>337</v>
      </c>
      <c r="G88" s="18"/>
      <c r="H88" s="18"/>
      <c r="I88" s="32">
        <v>45969</v>
      </c>
      <c r="J88" s="32">
        <v>45786</v>
      </c>
      <c r="K88" s="32">
        <v>45748</v>
      </c>
      <c r="L88" s="16"/>
      <c r="M88" s="16"/>
      <c r="N88" s="18" t="s">
        <v>313</v>
      </c>
      <c r="O88" s="22" t="s">
        <v>328</v>
      </c>
      <c r="P88" s="22" t="s">
        <v>78</v>
      </c>
      <c r="Q88" s="22"/>
      <c r="R88" s="22"/>
      <c r="S88" s="22"/>
      <c r="T88" s="22"/>
      <c r="U88" s="33">
        <v>45816</v>
      </c>
      <c r="V88" s="19" t="s">
        <v>338</v>
      </c>
      <c r="W88" s="19"/>
      <c r="X88" s="20"/>
      <c r="Y88" s="19"/>
      <c r="Z88" s="21">
        <v>380</v>
      </c>
      <c r="AA88" s="36" cm="1">
        <f t="array" ref="AA88">Vorlauf(Tabelle13[[#This Row],[Anbieter]])</f>
        <v>6</v>
      </c>
      <c r="AB88" s="37">
        <f>IFERROR(EDATE(Tabelle13[[#This Row],[Vertragsende]], -Tabelle13[[#This Row],[Vorlauf]]) + 1,"")</f>
        <v>45786</v>
      </c>
      <c r="AC88" s="37">
        <f>IFERROR(EDATE(Tabelle13[[#This Row],[Vertragsende]], -Tabelle13[[#This Row],[Vorlauf]] - 1) + 1,"")</f>
        <v>45756</v>
      </c>
    </row>
    <row r="89" spans="1:29" x14ac:dyDescent="0.25">
      <c r="A89" s="35">
        <f t="shared" si="3"/>
        <v>86</v>
      </c>
      <c r="B89" s="16" t="s">
        <v>347</v>
      </c>
      <c r="C89" s="16" t="s">
        <v>348</v>
      </c>
      <c r="D89" s="16" t="s">
        <v>65</v>
      </c>
      <c r="E89" s="16" t="s">
        <v>66</v>
      </c>
      <c r="F89" s="16" t="s">
        <v>67</v>
      </c>
      <c r="G89" s="18"/>
      <c r="H89" s="18" t="s">
        <v>306</v>
      </c>
      <c r="I89" s="32"/>
      <c r="J89" s="32"/>
      <c r="K89" s="32"/>
      <c r="L89" s="16"/>
      <c r="M89" s="16"/>
      <c r="N89" s="18" t="s">
        <v>313</v>
      </c>
      <c r="O89" s="22" t="s">
        <v>328</v>
      </c>
      <c r="P89" s="22" t="s">
        <v>78</v>
      </c>
      <c r="Q89" s="22"/>
      <c r="R89" s="22"/>
      <c r="S89" s="22"/>
      <c r="T89" s="22"/>
      <c r="U89" s="33">
        <v>45320</v>
      </c>
      <c r="V89" s="19" t="s">
        <v>78</v>
      </c>
      <c r="W89" s="19" t="s">
        <v>349</v>
      </c>
      <c r="X89" s="20"/>
      <c r="Y89" s="19"/>
      <c r="Z89" s="21">
        <v>170</v>
      </c>
      <c r="AA89" s="36" cm="1">
        <f t="array" ref="AA89">Vorlauf(Tabelle13[[#This Row],[Anbieter]])</f>
        <v>6</v>
      </c>
      <c r="AB89" s="37" t="str">
        <f>IFERROR(EDATE(Tabelle13[[#This Row],[Vertragsende]], -Tabelle13[[#This Row],[Vorlauf]]) + 1,"")</f>
        <v/>
      </c>
      <c r="AC89" s="37" t="str">
        <f>IFERROR(EDATE(Tabelle13[[#This Row],[Vertragsende]], -Tabelle13[[#This Row],[Vorlauf]] - 1) + 1,"")</f>
        <v/>
      </c>
    </row>
    <row r="90" spans="1:29" x14ac:dyDescent="0.25">
      <c r="A90" s="35">
        <f t="shared" si="3"/>
        <v>87</v>
      </c>
      <c r="B90" s="16" t="s">
        <v>350</v>
      </c>
      <c r="C90" s="16" t="s">
        <v>351</v>
      </c>
      <c r="D90" s="16" t="s">
        <v>336</v>
      </c>
      <c r="E90" s="16" t="s">
        <v>66</v>
      </c>
      <c r="F90" s="16" t="s">
        <v>337</v>
      </c>
      <c r="G90" s="18"/>
      <c r="H90" s="18"/>
      <c r="I90" s="32"/>
      <c r="J90" s="32"/>
      <c r="K90" s="32"/>
      <c r="L90" s="16"/>
      <c r="M90" s="16"/>
      <c r="N90" s="18" t="s">
        <v>313</v>
      </c>
      <c r="O90" s="22" t="s">
        <v>328</v>
      </c>
      <c r="P90" s="22" t="s">
        <v>338</v>
      </c>
      <c r="Q90" s="22"/>
      <c r="R90" s="22"/>
      <c r="S90" s="22"/>
      <c r="T90" s="22"/>
      <c r="U90" s="33">
        <v>45350</v>
      </c>
      <c r="V90" s="19" t="s">
        <v>338</v>
      </c>
      <c r="W90" s="19" t="s">
        <v>352</v>
      </c>
      <c r="X90" s="20"/>
      <c r="Y90" s="19"/>
      <c r="Z90" s="21">
        <v>535</v>
      </c>
      <c r="AA90" s="36" cm="1">
        <f t="array" ref="AA90">Vorlauf(Tabelle13[[#This Row],[Anbieter]])</f>
        <v>6</v>
      </c>
      <c r="AB90" s="37" t="str">
        <f>IFERROR(EDATE(Tabelle13[[#This Row],[Vertragsende]], -Tabelle13[[#This Row],[Vorlauf]]) + 1,"")</f>
        <v/>
      </c>
      <c r="AC90" s="37" t="str">
        <f>IFERROR(EDATE(Tabelle13[[#This Row],[Vertragsende]], -Tabelle13[[#This Row],[Vorlauf]] - 1) + 1,"")</f>
        <v/>
      </c>
    </row>
    <row r="91" spans="1:29" x14ac:dyDescent="0.25">
      <c r="A91" s="35">
        <f t="shared" si="3"/>
        <v>88</v>
      </c>
      <c r="B91" s="16" t="s">
        <v>353</v>
      </c>
      <c r="C91" s="16" t="s">
        <v>354</v>
      </c>
      <c r="D91" s="16" t="s">
        <v>336</v>
      </c>
      <c r="E91" s="16" t="s">
        <v>66</v>
      </c>
      <c r="F91" s="16" t="s">
        <v>337</v>
      </c>
      <c r="G91" s="18"/>
      <c r="H91" s="18" t="s">
        <v>306</v>
      </c>
      <c r="I91" s="32"/>
      <c r="J91" s="32"/>
      <c r="K91" s="32"/>
      <c r="L91" s="16"/>
      <c r="M91" s="16"/>
      <c r="N91" s="18" t="s">
        <v>313</v>
      </c>
      <c r="O91" s="22" t="s">
        <v>328</v>
      </c>
      <c r="P91" s="22" t="s">
        <v>338</v>
      </c>
      <c r="Q91" s="22"/>
      <c r="R91" s="22"/>
      <c r="S91" s="22"/>
      <c r="T91" s="22"/>
      <c r="U91" s="33">
        <v>45446</v>
      </c>
      <c r="V91" s="19" t="s">
        <v>338</v>
      </c>
      <c r="W91" s="19" t="s">
        <v>355</v>
      </c>
      <c r="X91" s="20"/>
      <c r="Y91" s="19"/>
      <c r="Z91" s="21">
        <v>495</v>
      </c>
      <c r="AA91" s="36" cm="1">
        <f t="array" ref="AA91">Vorlauf(Tabelle13[[#This Row],[Anbieter]])</f>
        <v>6</v>
      </c>
      <c r="AB91" s="37" t="str">
        <f>IFERROR(EDATE(Tabelle13[[#This Row],[Vertragsende]], -Tabelle13[[#This Row],[Vorlauf]]) + 1,"")</f>
        <v/>
      </c>
      <c r="AC91" s="37" t="str">
        <f>IFERROR(EDATE(Tabelle13[[#This Row],[Vertragsende]], -Tabelle13[[#This Row],[Vorlauf]] - 1) + 1,"")</f>
        <v/>
      </c>
    </row>
    <row r="92" spans="1:29" x14ac:dyDescent="0.25">
      <c r="A92" s="35">
        <f t="shared" si="3"/>
        <v>89</v>
      </c>
      <c r="B92" s="16" t="s">
        <v>356</v>
      </c>
      <c r="C92" s="16"/>
      <c r="D92" s="16"/>
      <c r="E92" s="16" t="s">
        <v>357</v>
      </c>
      <c r="F92" s="16"/>
      <c r="G92" s="18" t="s">
        <v>306</v>
      </c>
      <c r="H92" s="18"/>
      <c r="I92" s="32"/>
      <c r="J92" s="32"/>
      <c r="K92" s="32"/>
      <c r="L92" s="16"/>
      <c r="M92" s="16"/>
      <c r="N92" s="18"/>
      <c r="O92" s="22"/>
      <c r="P92" s="22" t="s">
        <v>358</v>
      </c>
      <c r="Q92" s="22"/>
      <c r="R92" s="22"/>
      <c r="S92" s="22"/>
      <c r="T92" s="22"/>
      <c r="U92" s="33">
        <v>45350</v>
      </c>
      <c r="V92" s="19" t="s">
        <v>338</v>
      </c>
      <c r="W92" s="19"/>
      <c r="X92" s="20"/>
      <c r="Y92" s="19"/>
      <c r="Z92" s="21">
        <v>535</v>
      </c>
      <c r="AA92" s="36" cm="1">
        <f t="array" ref="AA92">Vorlauf(Tabelle13[[#This Row],[Anbieter]])</f>
        <v>1</v>
      </c>
      <c r="AB92" s="37" t="str">
        <f>IFERROR(EDATE(Tabelle13[[#This Row],[Vertragsende]], -Tabelle13[[#This Row],[Vorlauf]]) + 1,"")</f>
        <v/>
      </c>
      <c r="AC92" s="37" t="str">
        <f>IFERROR(EDATE(Tabelle13[[#This Row],[Vertragsende]], -Tabelle13[[#This Row],[Vorlauf]] - 1) + 1,"")</f>
        <v/>
      </c>
    </row>
  </sheetData>
  <phoneticPr fontId="10" type="noConversion"/>
  <conditionalFormatting sqref="A4:AC92">
    <cfRule type="expression" dxfId="0" priority="2">
      <formula>AND($G4 = "X", $J4 = "", $K4 = "")</formula>
    </cfRule>
  </conditionalFormatting>
  <dataValidations count="2">
    <dataValidation type="list" allowBlank="1" showInputMessage="1" showErrorMessage="1" sqref="G4:H92" xr:uid="{CBF7C48B-1706-40B6-810C-E1048DF05EEA}">
      <formula1>"X"</formula1>
    </dataValidation>
    <dataValidation type="list" allowBlank="1" showInputMessage="1" showErrorMessage="1" sqref="N4:N92" xr:uid="{8E0547AC-AFB7-47BD-9FA2-1C01531BD523}">
      <formula1>"O,P"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0D03-5424-4ACE-BB56-FBB6422A6E7A}">
  <dimension ref="A1:AC95"/>
  <sheetViews>
    <sheetView showGridLines="0" workbookViewId="0">
      <selection activeCell="A4" sqref="A4"/>
    </sheetView>
  </sheetViews>
  <sheetFormatPr baseColWidth="10" defaultRowHeight="13.5" x14ac:dyDescent="0.25"/>
  <cols>
    <col min="1" max="1" width="5.5" style="15" customWidth="1"/>
    <col min="2" max="2" width="12.625" style="15" customWidth="1"/>
    <col min="3" max="3" width="16" style="15" customWidth="1"/>
    <col min="4" max="4" width="11.25" style="15" customWidth="1"/>
    <col min="5" max="5" width="9" style="15" customWidth="1"/>
    <col min="6" max="6" width="6.375" style="15" customWidth="1"/>
    <col min="7" max="7" width="6.875" style="15" bestFit="1" customWidth="1"/>
    <col min="8" max="8" width="6.375" style="15" bestFit="1" customWidth="1"/>
    <col min="9" max="9" width="11.25" style="15" customWidth="1"/>
    <col min="10" max="11" width="6.875" style="15" bestFit="1" customWidth="1"/>
    <col min="12" max="12" width="10.125" style="15" customWidth="1"/>
    <col min="13" max="14" width="11" style="15"/>
    <col min="15" max="15" width="8.75" style="15" customWidth="1"/>
    <col min="16" max="16" width="8.125" style="15" customWidth="1"/>
    <col min="17" max="17" width="9.625" style="15" customWidth="1"/>
    <col min="18" max="18" width="9.75" style="15" customWidth="1"/>
    <col min="19" max="19" width="9.625" style="15" customWidth="1"/>
    <col min="20" max="20" width="9.125" style="15" customWidth="1"/>
    <col min="21" max="21" width="7.875" style="15" customWidth="1"/>
    <col min="22" max="22" width="8.875" style="15" bestFit="1" customWidth="1"/>
    <col min="23" max="23" width="39.75" style="15" bestFit="1" customWidth="1"/>
    <col min="24" max="24" width="11.75" style="15" bestFit="1" customWidth="1"/>
    <col min="25" max="25" width="11" style="15"/>
    <col min="26" max="26" width="7.625" style="15" customWidth="1"/>
    <col min="27" max="27" width="8.875" style="15" bestFit="1" customWidth="1"/>
    <col min="28" max="28" width="8.625" style="15" bestFit="1" customWidth="1"/>
    <col min="29" max="16384" width="11" style="15"/>
  </cols>
  <sheetData>
    <row r="1" spans="1:29" s="30" customFormat="1" ht="26.25" customHeight="1" x14ac:dyDescent="0.25">
      <c r="A1" s="28" t="s">
        <v>324</v>
      </c>
      <c r="B1" s="29"/>
      <c r="C1" s="29" t="str" cm="1">
        <f t="array" ref="C1">Fullname(Kunde!$B$4,Kunde!$B$5) &amp; ", " &amp; Kunde!$B$7</f>
        <v>Friedrich von Lien AG, 27404 Zeven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s="24" customFormat="1" ht="15" x14ac:dyDescent="0.25">
      <c r="A2" s="23" t="s">
        <v>321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5" t="s">
        <v>322</v>
      </c>
      <c r="P2" s="23"/>
      <c r="Q2" s="23"/>
      <c r="R2" s="23"/>
      <c r="S2" s="23"/>
      <c r="T2" s="27"/>
      <c r="U2" s="23" t="s">
        <v>323</v>
      </c>
      <c r="V2" s="27"/>
      <c r="W2" s="26"/>
      <c r="X2" s="23"/>
      <c r="Y2" s="23"/>
      <c r="Z2" s="23"/>
      <c r="AA2" s="23"/>
      <c r="AB2" s="23"/>
      <c r="AC2" s="27"/>
    </row>
    <row r="3" spans="1:29" s="17" customFormat="1" ht="36" customHeight="1" x14ac:dyDescent="0.25">
      <c r="A3" s="17" t="s">
        <v>55</v>
      </c>
      <c r="B3" s="17" t="s">
        <v>56</v>
      </c>
      <c r="C3" s="17" t="s">
        <v>301</v>
      </c>
      <c r="D3" s="17" t="s">
        <v>302</v>
      </c>
      <c r="E3" s="17" t="s">
        <v>303</v>
      </c>
      <c r="F3" s="17" t="s">
        <v>304</v>
      </c>
      <c r="G3" s="17" t="s">
        <v>305</v>
      </c>
      <c r="H3" s="17" t="s">
        <v>57</v>
      </c>
      <c r="I3" s="17" t="s">
        <v>307</v>
      </c>
      <c r="J3" s="17" t="s">
        <v>308</v>
      </c>
      <c r="K3" s="17" t="s">
        <v>309</v>
      </c>
      <c r="L3" s="17" t="s">
        <v>310</v>
      </c>
      <c r="M3" s="17" t="s">
        <v>311</v>
      </c>
      <c r="N3" s="17" t="s">
        <v>312</v>
      </c>
      <c r="O3" s="17" t="s">
        <v>58</v>
      </c>
      <c r="P3" s="17" t="s">
        <v>315</v>
      </c>
      <c r="Q3" s="17" t="s">
        <v>359</v>
      </c>
      <c r="R3" s="17" t="s">
        <v>60</v>
      </c>
      <c r="S3" s="17" t="s">
        <v>61</v>
      </c>
      <c r="T3" s="17" t="s">
        <v>62</v>
      </c>
      <c r="U3" s="17" t="s">
        <v>314</v>
      </c>
      <c r="V3" s="17" t="s">
        <v>316</v>
      </c>
      <c r="W3" s="17" t="s">
        <v>317</v>
      </c>
      <c r="X3" s="17" t="s">
        <v>318</v>
      </c>
      <c r="Y3" s="17" t="s">
        <v>319</v>
      </c>
      <c r="Z3" s="17" t="s">
        <v>320</v>
      </c>
      <c r="AA3" s="17" t="s">
        <v>325</v>
      </c>
      <c r="AB3" s="17" t="s">
        <v>326</v>
      </c>
      <c r="AC3" s="34" t="s">
        <v>327</v>
      </c>
    </row>
    <row r="4" spans="1:29" x14ac:dyDescent="0.25">
      <c r="A4" s="35">
        <f t="shared" ref="A4" si="0">ROW()-3</f>
        <v>1</v>
      </c>
      <c r="B4" s="16" t="s">
        <v>263</v>
      </c>
      <c r="C4" s="16" t="s">
        <v>264</v>
      </c>
      <c r="D4" s="16" t="s">
        <v>336</v>
      </c>
      <c r="E4" s="16" t="s">
        <v>66</v>
      </c>
      <c r="F4" s="16" t="s">
        <v>337</v>
      </c>
      <c r="G4" s="18" t="s">
        <v>306</v>
      </c>
      <c r="H4" s="18" t="s">
        <v>306</v>
      </c>
      <c r="I4" s="32">
        <v>46007</v>
      </c>
      <c r="J4" s="32">
        <v>45825</v>
      </c>
      <c r="K4" s="32">
        <v>45778</v>
      </c>
      <c r="L4" s="16"/>
      <c r="M4" s="16"/>
      <c r="N4" s="18" t="s">
        <v>313</v>
      </c>
      <c r="O4" s="22" t="s">
        <v>328</v>
      </c>
      <c r="P4" s="22" t="s">
        <v>265</v>
      </c>
      <c r="Q4" s="22"/>
      <c r="R4" s="22"/>
      <c r="S4" s="22"/>
      <c r="T4" s="22"/>
      <c r="U4" s="33">
        <v>45900</v>
      </c>
      <c r="V4" s="19" t="s">
        <v>360</v>
      </c>
      <c r="W4" s="19"/>
      <c r="X4" s="20"/>
      <c r="Y4" s="19"/>
      <c r="Z4" s="21">
        <v>290</v>
      </c>
      <c r="AA4" s="36" cm="1">
        <f t="array" ref="AA4">Vorlauf(Tabelle134[[#This Row],[Anbieter]])</f>
        <v>6</v>
      </c>
      <c r="AB4" s="37">
        <f>IFERROR(EDATE(Tabelle134[[#This Row],[Vertragsende]], -Tabelle134[[#This Row],[Vorlauf]]) + 1, "")</f>
        <v>45825</v>
      </c>
      <c r="AC4" s="37">
        <f>IFERROR(EDATE(Tabelle134[[#This Row],[Vertragsende]], -Tabelle134[[#This Row],[Vorlauf]] - 1) + 1, "")</f>
        <v>45794</v>
      </c>
    </row>
    <row r="5" spans="1:29" x14ac:dyDescent="0.25">
      <c r="A5" s="35">
        <f t="shared" ref="A5:A36" si="1">ROW()-3</f>
        <v>2</v>
      </c>
      <c r="B5" s="16" t="s">
        <v>267</v>
      </c>
      <c r="C5" s="16" t="s">
        <v>268</v>
      </c>
      <c r="D5" s="16" t="s">
        <v>336</v>
      </c>
      <c r="E5" s="16" t="s">
        <v>66</v>
      </c>
      <c r="F5" s="16" t="s">
        <v>337</v>
      </c>
      <c r="G5" s="18" t="s">
        <v>306</v>
      </c>
      <c r="H5" s="18" t="s">
        <v>306</v>
      </c>
      <c r="I5" s="32">
        <v>46007</v>
      </c>
      <c r="J5" s="32">
        <v>45825</v>
      </c>
      <c r="K5" s="32">
        <v>45778</v>
      </c>
      <c r="L5" s="16"/>
      <c r="M5" s="16"/>
      <c r="N5" s="18" t="s">
        <v>313</v>
      </c>
      <c r="O5" s="22" t="s">
        <v>328</v>
      </c>
      <c r="P5" s="22" t="s">
        <v>265</v>
      </c>
      <c r="Q5" s="22"/>
      <c r="R5" s="22"/>
      <c r="S5" s="22"/>
      <c r="T5" s="22"/>
      <c r="U5" s="33">
        <v>45900</v>
      </c>
      <c r="V5" s="19" t="s">
        <v>360</v>
      </c>
      <c r="W5" s="19"/>
      <c r="X5" s="20"/>
      <c r="Y5" s="19"/>
      <c r="Z5" s="21">
        <v>290</v>
      </c>
      <c r="AA5" s="36" cm="1">
        <f t="array" ref="AA5">Vorlauf(Tabelle134[[#This Row],[Anbieter]])</f>
        <v>6</v>
      </c>
      <c r="AB5" s="37">
        <f>IFERROR(EDATE(Tabelle134[[#This Row],[Vertragsende]], -Tabelle134[[#This Row],[Vorlauf]]) + 1, "")</f>
        <v>45825</v>
      </c>
      <c r="AC5" s="37">
        <f>IFERROR(EDATE(Tabelle134[[#This Row],[Vertragsende]], -Tabelle134[[#This Row],[Vorlauf]] - 1) + 1, "")</f>
        <v>45794</v>
      </c>
    </row>
    <row r="6" spans="1:29" x14ac:dyDescent="0.25">
      <c r="A6" s="35">
        <f t="shared" si="1"/>
        <v>3</v>
      </c>
      <c r="B6" s="16" t="s">
        <v>269</v>
      </c>
      <c r="C6" s="16" t="s">
        <v>270</v>
      </c>
      <c r="D6" s="16" t="s">
        <v>336</v>
      </c>
      <c r="E6" s="16" t="s">
        <v>66</v>
      </c>
      <c r="F6" s="16" t="s">
        <v>337</v>
      </c>
      <c r="G6" s="18" t="s">
        <v>306</v>
      </c>
      <c r="H6" s="18"/>
      <c r="I6" s="32">
        <v>46007</v>
      </c>
      <c r="J6" s="32">
        <v>45825</v>
      </c>
      <c r="K6" s="32">
        <v>45778</v>
      </c>
      <c r="L6" s="16"/>
      <c r="M6" s="16"/>
      <c r="N6" s="18" t="s">
        <v>313</v>
      </c>
      <c r="O6" s="22" t="s">
        <v>328</v>
      </c>
      <c r="P6" s="22" t="s">
        <v>78</v>
      </c>
      <c r="Q6" s="22"/>
      <c r="R6" s="22"/>
      <c r="S6" s="22"/>
      <c r="T6" s="22"/>
      <c r="U6" s="33">
        <v>45900</v>
      </c>
      <c r="V6" s="19" t="s">
        <v>360</v>
      </c>
      <c r="W6" s="19"/>
      <c r="X6" s="20"/>
      <c r="Y6" s="19"/>
      <c r="Z6" s="21">
        <v>380</v>
      </c>
      <c r="AA6" s="36" cm="1">
        <f t="array" ref="AA6">Vorlauf(Tabelle134[[#This Row],[Anbieter]])</f>
        <v>6</v>
      </c>
      <c r="AB6" s="37">
        <f>IFERROR(EDATE(Tabelle134[[#This Row],[Vertragsende]], -Tabelle134[[#This Row],[Vorlauf]]) + 1, "")</f>
        <v>45825</v>
      </c>
      <c r="AC6" s="37">
        <f>IFERROR(EDATE(Tabelle134[[#This Row],[Vertragsende]], -Tabelle134[[#This Row],[Vorlauf]] - 1) + 1, "")</f>
        <v>45794</v>
      </c>
    </row>
    <row r="7" spans="1:29" x14ac:dyDescent="0.25">
      <c r="A7" s="35">
        <f t="shared" si="1"/>
        <v>4</v>
      </c>
      <c r="B7" s="16" t="s">
        <v>347</v>
      </c>
      <c r="C7" s="16" t="s">
        <v>348</v>
      </c>
      <c r="D7" s="16" t="s">
        <v>336</v>
      </c>
      <c r="E7" s="16" t="s">
        <v>66</v>
      </c>
      <c r="F7" s="16" t="s">
        <v>337</v>
      </c>
      <c r="G7" s="18" t="s">
        <v>306</v>
      </c>
      <c r="H7" s="18" t="s">
        <v>306</v>
      </c>
      <c r="I7" s="32">
        <v>46050</v>
      </c>
      <c r="J7" s="32">
        <v>45867</v>
      </c>
      <c r="K7" s="32">
        <v>45809</v>
      </c>
      <c r="L7" s="16"/>
      <c r="M7" s="16"/>
      <c r="N7" s="18" t="s">
        <v>313</v>
      </c>
      <c r="O7" s="22" t="s">
        <v>328</v>
      </c>
      <c r="P7" s="22" t="s">
        <v>78</v>
      </c>
      <c r="Q7" s="22"/>
      <c r="R7" s="22"/>
      <c r="S7" s="22"/>
      <c r="T7" s="22"/>
      <c r="U7" s="33">
        <v>45900</v>
      </c>
      <c r="V7" s="19" t="s">
        <v>360</v>
      </c>
      <c r="W7" s="19"/>
      <c r="X7" s="20"/>
      <c r="Y7" s="19"/>
      <c r="Z7" s="21">
        <v>380</v>
      </c>
      <c r="AA7" s="36" cm="1">
        <f t="array" ref="AA7">Vorlauf(Tabelle134[[#This Row],[Anbieter]])</f>
        <v>6</v>
      </c>
      <c r="AB7" s="37">
        <f>IFERROR(EDATE(Tabelle134[[#This Row],[Vertragsende]], -Tabelle134[[#This Row],[Vorlauf]]) + 1, "")</f>
        <v>45867</v>
      </c>
      <c r="AC7" s="37">
        <f>IFERROR(EDATE(Tabelle134[[#This Row],[Vertragsende]], -Tabelle134[[#This Row],[Vorlauf]] - 1) + 1, "")</f>
        <v>45837</v>
      </c>
    </row>
    <row r="8" spans="1:29" x14ac:dyDescent="0.25">
      <c r="A8" s="35">
        <f t="shared" si="1"/>
        <v>5</v>
      </c>
      <c r="B8" s="16" t="s">
        <v>356</v>
      </c>
      <c r="C8" s="16" t="s">
        <v>361</v>
      </c>
      <c r="D8" s="16" t="s">
        <v>336</v>
      </c>
      <c r="E8" s="16" t="s">
        <v>66</v>
      </c>
      <c r="F8" s="16" t="s">
        <v>337</v>
      </c>
      <c r="G8" s="18" t="s">
        <v>306</v>
      </c>
      <c r="H8" s="18" t="s">
        <v>306</v>
      </c>
      <c r="I8" s="32">
        <v>46080</v>
      </c>
      <c r="J8" s="32">
        <v>45897</v>
      </c>
      <c r="K8" s="32">
        <v>45839</v>
      </c>
      <c r="L8" s="16"/>
      <c r="M8" s="16"/>
      <c r="N8" s="18" t="s">
        <v>313</v>
      </c>
      <c r="O8" s="22" t="s">
        <v>328</v>
      </c>
      <c r="P8" s="22" t="s">
        <v>338</v>
      </c>
      <c r="Q8" s="22" t="s">
        <v>334</v>
      </c>
      <c r="R8" s="22"/>
      <c r="S8" s="22"/>
      <c r="T8" s="22"/>
      <c r="U8" s="33">
        <v>45900</v>
      </c>
      <c r="V8" s="19" t="s">
        <v>362</v>
      </c>
      <c r="W8" s="19"/>
      <c r="X8" s="20"/>
      <c r="Y8" s="19"/>
      <c r="Z8" s="21">
        <v>500</v>
      </c>
      <c r="AA8" s="36" cm="1">
        <f t="array" ref="AA8">Vorlauf(Tabelle134[[#This Row],[Anbieter]])</f>
        <v>6</v>
      </c>
      <c r="AB8" s="37">
        <f>IFERROR(EDATE(Tabelle134[[#This Row],[Vertragsende]], -Tabelle134[[#This Row],[Vorlauf]]) + 1, "")</f>
        <v>45897</v>
      </c>
      <c r="AC8" s="37">
        <f>IFERROR(EDATE(Tabelle134[[#This Row],[Vertragsende]], -Tabelle134[[#This Row],[Vorlauf]] - 1) + 1, "")</f>
        <v>45866</v>
      </c>
    </row>
    <row r="9" spans="1:29" x14ac:dyDescent="0.25">
      <c r="A9" s="35">
        <f t="shared" si="1"/>
        <v>6</v>
      </c>
      <c r="B9" s="16" t="s">
        <v>76</v>
      </c>
      <c r="C9" s="16" t="s">
        <v>77</v>
      </c>
      <c r="D9" s="16" t="s">
        <v>336</v>
      </c>
      <c r="E9" s="16" t="s">
        <v>66</v>
      </c>
      <c r="F9" s="16" t="s">
        <v>337</v>
      </c>
      <c r="G9" s="18" t="s">
        <v>306</v>
      </c>
      <c r="H9" s="18" t="s">
        <v>306</v>
      </c>
      <c r="I9" s="32">
        <v>46124</v>
      </c>
      <c r="J9" s="32">
        <v>46094</v>
      </c>
      <c r="K9" s="32">
        <v>46023</v>
      </c>
      <c r="L9" s="16"/>
      <c r="M9" s="16"/>
      <c r="N9" s="18" t="s">
        <v>313</v>
      </c>
      <c r="O9" s="22" t="s">
        <v>328</v>
      </c>
      <c r="P9" s="22" t="s">
        <v>265</v>
      </c>
      <c r="Q9" s="22"/>
      <c r="R9" s="22"/>
      <c r="S9" s="22"/>
      <c r="T9" s="22"/>
      <c r="U9" s="33">
        <v>45953</v>
      </c>
      <c r="V9" s="19" t="s">
        <v>362</v>
      </c>
      <c r="W9" s="19"/>
      <c r="X9" s="20"/>
      <c r="Y9" s="19"/>
      <c r="Z9" s="21">
        <v>500</v>
      </c>
      <c r="AA9" s="36" cm="1">
        <f t="array" ref="AA9">Vorlauf(Tabelle134[[#This Row],[Anbieter]])</f>
        <v>6</v>
      </c>
      <c r="AB9" s="37">
        <f>IFERROR(EDATE(Tabelle134[[#This Row],[Vertragsende]], -Tabelle134[[#This Row],[Vorlauf]]) + 1, "")</f>
        <v>45943</v>
      </c>
      <c r="AC9" s="37">
        <f>IFERROR(EDATE(Tabelle134[[#This Row],[Vertragsende]], -Tabelle134[[#This Row],[Vorlauf]] - 1) + 1, "")</f>
        <v>45913</v>
      </c>
    </row>
    <row r="10" spans="1:29" x14ac:dyDescent="0.25">
      <c r="A10" s="35">
        <f t="shared" si="1"/>
        <v>7</v>
      </c>
      <c r="B10" s="16" t="s">
        <v>119</v>
      </c>
      <c r="C10" s="16" t="s">
        <v>363</v>
      </c>
      <c r="D10" s="16" t="s">
        <v>336</v>
      </c>
      <c r="E10" s="16" t="s">
        <v>66</v>
      </c>
      <c r="F10" s="16" t="s">
        <v>337</v>
      </c>
      <c r="G10" s="18" t="s">
        <v>306</v>
      </c>
      <c r="H10" s="18"/>
      <c r="I10" s="32">
        <v>46126</v>
      </c>
      <c r="J10" s="32">
        <v>46096</v>
      </c>
      <c r="K10" s="32">
        <v>46023</v>
      </c>
      <c r="L10" s="16"/>
      <c r="M10" s="16"/>
      <c r="N10" s="18" t="s">
        <v>313</v>
      </c>
      <c r="O10" s="22" t="s">
        <v>328</v>
      </c>
      <c r="P10" s="22" t="s">
        <v>161</v>
      </c>
      <c r="Q10" s="22"/>
      <c r="R10" s="22"/>
      <c r="S10" s="22"/>
      <c r="T10" s="22"/>
      <c r="U10" s="33">
        <v>45953</v>
      </c>
      <c r="V10" s="19" t="s">
        <v>161</v>
      </c>
      <c r="W10" s="19"/>
      <c r="X10" s="20"/>
      <c r="Y10" s="19"/>
      <c r="Z10" s="21">
        <v>165</v>
      </c>
      <c r="AA10" s="36" cm="1">
        <f t="array" ref="AA10">Vorlauf(Tabelle134[[#This Row],[Anbieter]])</f>
        <v>6</v>
      </c>
      <c r="AB10" s="37">
        <f>IFERROR(EDATE(Tabelle134[[#This Row],[Vertragsende]], -Tabelle134[[#This Row],[Vorlauf]]) + 1, "")</f>
        <v>45945</v>
      </c>
      <c r="AC10" s="37">
        <f>IFERROR(EDATE(Tabelle134[[#This Row],[Vertragsende]], -Tabelle134[[#This Row],[Vorlauf]] - 1) + 1, "")</f>
        <v>45915</v>
      </c>
    </row>
    <row r="11" spans="1:29" x14ac:dyDescent="0.25">
      <c r="A11" s="35">
        <f t="shared" si="1"/>
        <v>8</v>
      </c>
      <c r="B11" s="16" t="s">
        <v>121</v>
      </c>
      <c r="C11" s="16" t="s">
        <v>122</v>
      </c>
      <c r="D11" s="16" t="s">
        <v>336</v>
      </c>
      <c r="E11" s="16" t="s">
        <v>66</v>
      </c>
      <c r="F11" s="16" t="s">
        <v>337</v>
      </c>
      <c r="G11" s="18" t="s">
        <v>306</v>
      </c>
      <c r="H11" s="18"/>
      <c r="I11" s="32">
        <v>46126</v>
      </c>
      <c r="J11" s="32">
        <v>46096</v>
      </c>
      <c r="K11" s="32">
        <v>46023</v>
      </c>
      <c r="L11" s="16"/>
      <c r="M11" s="16"/>
      <c r="N11" s="18" t="s">
        <v>313</v>
      </c>
      <c r="O11" s="22" t="s">
        <v>328</v>
      </c>
      <c r="P11" s="22" t="s">
        <v>161</v>
      </c>
      <c r="Q11" s="22"/>
      <c r="R11" s="22"/>
      <c r="S11" s="22"/>
      <c r="T11" s="22"/>
      <c r="U11" s="33">
        <v>45953</v>
      </c>
      <c r="V11" s="19" t="s">
        <v>161</v>
      </c>
      <c r="W11" s="19"/>
      <c r="X11" s="20"/>
      <c r="Y11" s="19"/>
      <c r="Z11" s="21">
        <v>165</v>
      </c>
      <c r="AA11" s="36" cm="1">
        <f t="array" ref="AA11">Vorlauf(Tabelle134[[#This Row],[Anbieter]])</f>
        <v>6</v>
      </c>
      <c r="AB11" s="37">
        <f>IFERROR(EDATE(Tabelle134[[#This Row],[Vertragsende]], -Tabelle134[[#This Row],[Vorlauf]]) + 1, "")</f>
        <v>45945</v>
      </c>
      <c r="AC11" s="37">
        <f>IFERROR(EDATE(Tabelle134[[#This Row],[Vertragsende]], -Tabelle134[[#This Row],[Vorlauf]] - 1) + 1, "")</f>
        <v>45915</v>
      </c>
    </row>
    <row r="12" spans="1:29" x14ac:dyDescent="0.25">
      <c r="A12" s="35">
        <f t="shared" si="1"/>
        <v>9</v>
      </c>
      <c r="B12" s="16" t="s">
        <v>123</v>
      </c>
      <c r="C12" s="16" t="s">
        <v>124</v>
      </c>
      <c r="D12" s="16" t="s">
        <v>336</v>
      </c>
      <c r="E12" s="16" t="s">
        <v>66</v>
      </c>
      <c r="F12" s="16" t="s">
        <v>337</v>
      </c>
      <c r="G12" s="18" t="s">
        <v>306</v>
      </c>
      <c r="H12" s="18"/>
      <c r="I12" s="32">
        <v>46126</v>
      </c>
      <c r="J12" s="32">
        <v>46096</v>
      </c>
      <c r="K12" s="32">
        <v>46023</v>
      </c>
      <c r="L12" s="16"/>
      <c r="M12" s="16"/>
      <c r="N12" s="18" t="s">
        <v>313</v>
      </c>
      <c r="O12" s="22" t="s">
        <v>328</v>
      </c>
      <c r="P12" s="22" t="s">
        <v>161</v>
      </c>
      <c r="Q12" s="22"/>
      <c r="R12" s="22"/>
      <c r="S12" s="22"/>
      <c r="T12" s="22"/>
      <c r="U12" s="33">
        <v>45953</v>
      </c>
      <c r="V12" s="19" t="s">
        <v>161</v>
      </c>
      <c r="W12" s="19"/>
      <c r="X12" s="20"/>
      <c r="Y12" s="19"/>
      <c r="Z12" s="21">
        <v>165</v>
      </c>
      <c r="AA12" s="36" cm="1">
        <f t="array" ref="AA12">Vorlauf(Tabelle134[[#This Row],[Anbieter]])</f>
        <v>6</v>
      </c>
      <c r="AB12" s="37">
        <f>IFERROR(EDATE(Tabelle134[[#This Row],[Vertragsende]], -Tabelle134[[#This Row],[Vorlauf]]) + 1, "")</f>
        <v>45945</v>
      </c>
      <c r="AC12" s="37">
        <f>IFERROR(EDATE(Tabelle134[[#This Row],[Vertragsende]], -Tabelle134[[#This Row],[Vorlauf]] - 1) + 1, "")</f>
        <v>45915</v>
      </c>
    </row>
    <row r="13" spans="1:29" x14ac:dyDescent="0.25">
      <c r="A13" s="35">
        <f t="shared" si="1"/>
        <v>10</v>
      </c>
      <c r="B13" s="16" t="s">
        <v>125</v>
      </c>
      <c r="C13" s="16" t="s">
        <v>126</v>
      </c>
      <c r="D13" s="16" t="s">
        <v>336</v>
      </c>
      <c r="E13" s="16" t="s">
        <v>66</v>
      </c>
      <c r="F13" s="16" t="s">
        <v>337</v>
      </c>
      <c r="G13" s="18" t="s">
        <v>306</v>
      </c>
      <c r="H13" s="18"/>
      <c r="I13" s="32">
        <v>46126</v>
      </c>
      <c r="J13" s="32">
        <v>46096</v>
      </c>
      <c r="K13" s="32">
        <v>46023</v>
      </c>
      <c r="L13" s="16"/>
      <c r="M13" s="16"/>
      <c r="N13" s="18" t="s">
        <v>313</v>
      </c>
      <c r="O13" s="22" t="s">
        <v>328</v>
      </c>
      <c r="P13" s="22" t="s">
        <v>161</v>
      </c>
      <c r="Q13" s="22"/>
      <c r="R13" s="22"/>
      <c r="S13" s="22"/>
      <c r="T13" s="22"/>
      <c r="U13" s="33">
        <v>45953</v>
      </c>
      <c r="V13" s="19" t="s">
        <v>161</v>
      </c>
      <c r="W13" s="19"/>
      <c r="X13" s="20"/>
      <c r="Y13" s="19"/>
      <c r="Z13" s="21">
        <v>165</v>
      </c>
      <c r="AA13" s="36" cm="1">
        <f t="array" ref="AA13">Vorlauf(Tabelle134[[#This Row],[Anbieter]])</f>
        <v>6</v>
      </c>
      <c r="AB13" s="37">
        <f>IFERROR(EDATE(Tabelle134[[#This Row],[Vertragsende]], -Tabelle134[[#This Row],[Vorlauf]]) + 1, "")</f>
        <v>45945</v>
      </c>
      <c r="AC13" s="37">
        <f>IFERROR(EDATE(Tabelle134[[#This Row],[Vertragsende]], -Tabelle134[[#This Row],[Vorlauf]] - 1) + 1, "")</f>
        <v>45915</v>
      </c>
    </row>
    <row r="14" spans="1:29" x14ac:dyDescent="0.25">
      <c r="A14" s="35">
        <f t="shared" si="1"/>
        <v>11</v>
      </c>
      <c r="B14" s="16" t="s">
        <v>127</v>
      </c>
      <c r="C14" s="16" t="s">
        <v>128</v>
      </c>
      <c r="D14" s="16" t="s">
        <v>336</v>
      </c>
      <c r="E14" s="16" t="s">
        <v>66</v>
      </c>
      <c r="F14" s="16" t="s">
        <v>337</v>
      </c>
      <c r="G14" s="18" t="s">
        <v>306</v>
      </c>
      <c r="H14" s="18"/>
      <c r="I14" s="32">
        <v>46126</v>
      </c>
      <c r="J14" s="32">
        <v>46096</v>
      </c>
      <c r="K14" s="32">
        <v>46023</v>
      </c>
      <c r="L14" s="16"/>
      <c r="M14" s="16"/>
      <c r="N14" s="18" t="s">
        <v>313</v>
      </c>
      <c r="O14" s="22" t="s">
        <v>328</v>
      </c>
      <c r="P14" s="22" t="s">
        <v>161</v>
      </c>
      <c r="Q14" s="22"/>
      <c r="R14" s="22"/>
      <c r="S14" s="22"/>
      <c r="T14" s="22"/>
      <c r="U14" s="33">
        <v>45953</v>
      </c>
      <c r="V14" s="19" t="s">
        <v>161</v>
      </c>
      <c r="W14" s="19"/>
      <c r="X14" s="20"/>
      <c r="Y14" s="19"/>
      <c r="Z14" s="21">
        <v>165</v>
      </c>
      <c r="AA14" s="36" cm="1">
        <f t="array" ref="AA14">Vorlauf(Tabelle134[[#This Row],[Anbieter]])</f>
        <v>6</v>
      </c>
      <c r="AB14" s="37">
        <f>IFERROR(EDATE(Tabelle134[[#This Row],[Vertragsende]], -Tabelle134[[#This Row],[Vorlauf]]) + 1, "")</f>
        <v>45945</v>
      </c>
      <c r="AC14" s="37">
        <f>IFERROR(EDATE(Tabelle134[[#This Row],[Vertragsende]], -Tabelle134[[#This Row],[Vorlauf]] - 1) + 1, "")</f>
        <v>45915</v>
      </c>
    </row>
    <row r="15" spans="1:29" x14ac:dyDescent="0.25">
      <c r="A15" s="35">
        <f t="shared" si="1"/>
        <v>12</v>
      </c>
      <c r="B15" s="16" t="s">
        <v>129</v>
      </c>
      <c r="C15" s="16" t="s">
        <v>130</v>
      </c>
      <c r="D15" s="16" t="s">
        <v>336</v>
      </c>
      <c r="E15" s="16" t="s">
        <v>66</v>
      </c>
      <c r="F15" s="16" t="s">
        <v>337</v>
      </c>
      <c r="G15" s="18" t="s">
        <v>306</v>
      </c>
      <c r="H15" s="18"/>
      <c r="I15" s="32">
        <v>46126</v>
      </c>
      <c r="J15" s="32">
        <v>46096</v>
      </c>
      <c r="K15" s="32">
        <v>46023</v>
      </c>
      <c r="L15" s="16"/>
      <c r="M15" s="16"/>
      <c r="N15" s="18" t="s">
        <v>313</v>
      </c>
      <c r="O15" s="22" t="s">
        <v>328</v>
      </c>
      <c r="P15" s="22" t="s">
        <v>161</v>
      </c>
      <c r="Q15" s="22"/>
      <c r="R15" s="22"/>
      <c r="S15" s="22"/>
      <c r="T15" s="22"/>
      <c r="U15" s="33">
        <v>45953</v>
      </c>
      <c r="V15" s="19" t="s">
        <v>161</v>
      </c>
      <c r="W15" s="19"/>
      <c r="X15" s="20"/>
      <c r="Y15" s="19"/>
      <c r="Z15" s="21">
        <v>165</v>
      </c>
      <c r="AA15" s="36" cm="1">
        <f t="array" ref="AA15">Vorlauf(Tabelle134[[#This Row],[Anbieter]])</f>
        <v>6</v>
      </c>
      <c r="AB15" s="37">
        <f>IFERROR(EDATE(Tabelle134[[#This Row],[Vertragsende]], -Tabelle134[[#This Row],[Vorlauf]]) + 1, "")</f>
        <v>45945</v>
      </c>
      <c r="AC15" s="37">
        <f>IFERROR(EDATE(Tabelle134[[#This Row],[Vertragsende]], -Tabelle134[[#This Row],[Vorlauf]] - 1) + 1, "")</f>
        <v>45915</v>
      </c>
    </row>
    <row r="16" spans="1:29" x14ac:dyDescent="0.25">
      <c r="A16" s="35">
        <f t="shared" si="1"/>
        <v>13</v>
      </c>
      <c r="B16" s="16" t="s">
        <v>131</v>
      </c>
      <c r="C16" s="16" t="s">
        <v>132</v>
      </c>
      <c r="D16" s="16" t="s">
        <v>336</v>
      </c>
      <c r="E16" s="16" t="s">
        <v>66</v>
      </c>
      <c r="F16" s="16" t="s">
        <v>337</v>
      </c>
      <c r="G16" s="18" t="s">
        <v>306</v>
      </c>
      <c r="H16" s="18"/>
      <c r="I16" s="32">
        <v>46126</v>
      </c>
      <c r="J16" s="32">
        <v>46096</v>
      </c>
      <c r="K16" s="32">
        <v>46023</v>
      </c>
      <c r="L16" s="16"/>
      <c r="M16" s="16"/>
      <c r="N16" s="18" t="s">
        <v>313</v>
      </c>
      <c r="O16" s="22" t="s">
        <v>328</v>
      </c>
      <c r="P16" s="22" t="s">
        <v>161</v>
      </c>
      <c r="Q16" s="22"/>
      <c r="R16" s="22"/>
      <c r="S16" s="22"/>
      <c r="T16" s="22"/>
      <c r="U16" s="33">
        <v>45953</v>
      </c>
      <c r="V16" s="19" t="s">
        <v>161</v>
      </c>
      <c r="W16" s="19"/>
      <c r="X16" s="20"/>
      <c r="Y16" s="19"/>
      <c r="Z16" s="21">
        <v>165</v>
      </c>
      <c r="AA16" s="36" cm="1">
        <f t="array" ref="AA16">Vorlauf(Tabelle134[[#This Row],[Anbieter]])</f>
        <v>6</v>
      </c>
      <c r="AB16" s="37">
        <f>IFERROR(EDATE(Tabelle134[[#This Row],[Vertragsende]], -Tabelle134[[#This Row],[Vorlauf]]) + 1, "")</f>
        <v>45945</v>
      </c>
      <c r="AC16" s="37">
        <f>IFERROR(EDATE(Tabelle134[[#This Row],[Vertragsende]], -Tabelle134[[#This Row],[Vorlauf]] - 1) + 1, "")</f>
        <v>45915</v>
      </c>
    </row>
    <row r="17" spans="1:29" x14ac:dyDescent="0.25">
      <c r="A17" s="35">
        <f t="shared" si="1"/>
        <v>14</v>
      </c>
      <c r="B17" s="16" t="s">
        <v>133</v>
      </c>
      <c r="C17" s="16" t="s">
        <v>134</v>
      </c>
      <c r="D17" s="16" t="s">
        <v>336</v>
      </c>
      <c r="E17" s="16" t="s">
        <v>66</v>
      </c>
      <c r="F17" s="16" t="s">
        <v>337</v>
      </c>
      <c r="G17" s="18" t="s">
        <v>306</v>
      </c>
      <c r="H17" s="18"/>
      <c r="I17" s="32">
        <v>46126</v>
      </c>
      <c r="J17" s="32">
        <v>46096</v>
      </c>
      <c r="K17" s="32">
        <v>46023</v>
      </c>
      <c r="L17" s="16"/>
      <c r="M17" s="16"/>
      <c r="N17" s="18" t="s">
        <v>313</v>
      </c>
      <c r="O17" s="22" t="s">
        <v>328</v>
      </c>
      <c r="P17" s="22" t="s">
        <v>161</v>
      </c>
      <c r="Q17" s="22"/>
      <c r="R17" s="22"/>
      <c r="S17" s="22"/>
      <c r="T17" s="22"/>
      <c r="U17" s="33">
        <v>45953</v>
      </c>
      <c r="V17" s="19" t="s">
        <v>161</v>
      </c>
      <c r="W17" s="19"/>
      <c r="X17" s="20"/>
      <c r="Y17" s="19"/>
      <c r="Z17" s="21">
        <v>165</v>
      </c>
      <c r="AA17" s="36" cm="1">
        <f t="array" ref="AA17">Vorlauf(Tabelle134[[#This Row],[Anbieter]])</f>
        <v>6</v>
      </c>
      <c r="AB17" s="37">
        <f>IFERROR(EDATE(Tabelle134[[#This Row],[Vertragsende]], -Tabelle134[[#This Row],[Vorlauf]]) + 1, "")</f>
        <v>45945</v>
      </c>
      <c r="AC17" s="37">
        <f>IFERROR(EDATE(Tabelle134[[#This Row],[Vertragsende]], -Tabelle134[[#This Row],[Vorlauf]] - 1) + 1, "")</f>
        <v>45915</v>
      </c>
    </row>
    <row r="18" spans="1:29" x14ac:dyDescent="0.25">
      <c r="A18" s="35">
        <f t="shared" si="1"/>
        <v>15</v>
      </c>
      <c r="B18" s="16" t="s">
        <v>135</v>
      </c>
      <c r="C18" s="16" t="s">
        <v>136</v>
      </c>
      <c r="D18" s="16" t="s">
        <v>336</v>
      </c>
      <c r="E18" s="16" t="s">
        <v>66</v>
      </c>
      <c r="F18" s="16" t="s">
        <v>337</v>
      </c>
      <c r="G18" s="18" t="s">
        <v>306</v>
      </c>
      <c r="H18" s="18"/>
      <c r="I18" s="32">
        <v>46126</v>
      </c>
      <c r="J18" s="32">
        <v>46096</v>
      </c>
      <c r="K18" s="32">
        <v>46023</v>
      </c>
      <c r="L18" s="16"/>
      <c r="M18" s="16"/>
      <c r="N18" s="18" t="s">
        <v>313</v>
      </c>
      <c r="O18" s="22" t="s">
        <v>328</v>
      </c>
      <c r="P18" s="22" t="s">
        <v>161</v>
      </c>
      <c r="Q18" s="22"/>
      <c r="R18" s="22"/>
      <c r="S18" s="22"/>
      <c r="T18" s="22"/>
      <c r="U18" s="33">
        <v>45953</v>
      </c>
      <c r="V18" s="19" t="s">
        <v>161</v>
      </c>
      <c r="W18" s="19"/>
      <c r="X18" s="20"/>
      <c r="Y18" s="19"/>
      <c r="Z18" s="21">
        <v>165</v>
      </c>
      <c r="AA18" s="36" cm="1">
        <f t="array" ref="AA18">Vorlauf(Tabelle134[[#This Row],[Anbieter]])</f>
        <v>6</v>
      </c>
      <c r="AB18" s="37">
        <f>IFERROR(EDATE(Tabelle134[[#This Row],[Vertragsende]], -Tabelle134[[#This Row],[Vorlauf]]) + 1, "")</f>
        <v>45945</v>
      </c>
      <c r="AC18" s="37">
        <f>IFERROR(EDATE(Tabelle134[[#This Row],[Vertragsende]], -Tabelle134[[#This Row],[Vorlauf]] - 1) + 1, "")</f>
        <v>45915</v>
      </c>
    </row>
    <row r="19" spans="1:29" x14ac:dyDescent="0.25">
      <c r="A19" s="35">
        <f t="shared" si="1"/>
        <v>16</v>
      </c>
      <c r="B19" s="16" t="s">
        <v>137</v>
      </c>
      <c r="C19" s="16" t="s">
        <v>138</v>
      </c>
      <c r="D19" s="16" t="s">
        <v>336</v>
      </c>
      <c r="E19" s="16" t="s">
        <v>66</v>
      </c>
      <c r="F19" s="16" t="s">
        <v>337</v>
      </c>
      <c r="G19" s="18" t="s">
        <v>306</v>
      </c>
      <c r="H19" s="18"/>
      <c r="I19" s="32">
        <v>46126</v>
      </c>
      <c r="J19" s="32">
        <v>46096</v>
      </c>
      <c r="K19" s="32">
        <v>46023</v>
      </c>
      <c r="L19" s="16"/>
      <c r="M19" s="16"/>
      <c r="N19" s="18" t="s">
        <v>313</v>
      </c>
      <c r="O19" s="22" t="s">
        <v>328</v>
      </c>
      <c r="P19" s="22" t="s">
        <v>161</v>
      </c>
      <c r="Q19" s="22"/>
      <c r="R19" s="22"/>
      <c r="S19" s="22"/>
      <c r="T19" s="22"/>
      <c r="U19" s="33">
        <v>45953</v>
      </c>
      <c r="V19" s="19" t="s">
        <v>161</v>
      </c>
      <c r="W19" s="19"/>
      <c r="X19" s="20"/>
      <c r="Y19" s="19"/>
      <c r="Z19" s="21">
        <v>165</v>
      </c>
      <c r="AA19" s="36" cm="1">
        <f t="array" ref="AA19">Vorlauf(Tabelle134[[#This Row],[Anbieter]])</f>
        <v>6</v>
      </c>
      <c r="AB19" s="37">
        <f>IFERROR(EDATE(Tabelle134[[#This Row],[Vertragsende]], -Tabelle134[[#This Row],[Vorlauf]]) + 1, "")</f>
        <v>45945</v>
      </c>
      <c r="AC19" s="37">
        <f>IFERROR(EDATE(Tabelle134[[#This Row],[Vertragsende]], -Tabelle134[[#This Row],[Vorlauf]] - 1) + 1, "")</f>
        <v>45915</v>
      </c>
    </row>
    <row r="20" spans="1:29" x14ac:dyDescent="0.25">
      <c r="A20" s="35">
        <f t="shared" si="1"/>
        <v>17</v>
      </c>
      <c r="B20" s="16" t="s">
        <v>139</v>
      </c>
      <c r="C20" s="16" t="s">
        <v>140</v>
      </c>
      <c r="D20" s="16" t="s">
        <v>336</v>
      </c>
      <c r="E20" s="16" t="s">
        <v>66</v>
      </c>
      <c r="F20" s="16" t="s">
        <v>337</v>
      </c>
      <c r="G20" s="18" t="s">
        <v>306</v>
      </c>
      <c r="H20" s="18"/>
      <c r="I20" s="32">
        <v>46126</v>
      </c>
      <c r="J20" s="32">
        <v>46096</v>
      </c>
      <c r="K20" s="32">
        <v>46023</v>
      </c>
      <c r="L20" s="16"/>
      <c r="M20" s="16"/>
      <c r="N20" s="18" t="s">
        <v>313</v>
      </c>
      <c r="O20" s="22" t="s">
        <v>328</v>
      </c>
      <c r="P20" s="22" t="s">
        <v>161</v>
      </c>
      <c r="Q20" s="22"/>
      <c r="R20" s="22"/>
      <c r="S20" s="22"/>
      <c r="T20" s="22"/>
      <c r="U20" s="33">
        <v>45953</v>
      </c>
      <c r="V20" s="19" t="s">
        <v>161</v>
      </c>
      <c r="W20" s="19"/>
      <c r="X20" s="20"/>
      <c r="Y20" s="19"/>
      <c r="Z20" s="21">
        <v>165</v>
      </c>
      <c r="AA20" s="36" cm="1">
        <f t="array" ref="AA20">Vorlauf(Tabelle134[[#This Row],[Anbieter]])</f>
        <v>6</v>
      </c>
      <c r="AB20" s="37">
        <f>IFERROR(EDATE(Tabelle134[[#This Row],[Vertragsende]], -Tabelle134[[#This Row],[Vorlauf]]) + 1, "")</f>
        <v>45945</v>
      </c>
      <c r="AC20" s="37">
        <f>IFERROR(EDATE(Tabelle134[[#This Row],[Vertragsende]], -Tabelle134[[#This Row],[Vorlauf]] - 1) + 1, "")</f>
        <v>45915</v>
      </c>
    </row>
    <row r="21" spans="1:29" x14ac:dyDescent="0.25">
      <c r="A21" s="35">
        <f t="shared" si="1"/>
        <v>18</v>
      </c>
      <c r="B21" s="16" t="s">
        <v>141</v>
      </c>
      <c r="C21" s="16" t="s">
        <v>142</v>
      </c>
      <c r="D21" s="16" t="s">
        <v>336</v>
      </c>
      <c r="E21" s="16" t="s">
        <v>66</v>
      </c>
      <c r="F21" s="16" t="s">
        <v>337</v>
      </c>
      <c r="G21" s="18" t="s">
        <v>306</v>
      </c>
      <c r="H21" s="18"/>
      <c r="I21" s="32">
        <v>46126</v>
      </c>
      <c r="J21" s="32">
        <v>46096</v>
      </c>
      <c r="K21" s="32">
        <v>46023</v>
      </c>
      <c r="L21" s="16"/>
      <c r="M21" s="16"/>
      <c r="N21" s="18" t="s">
        <v>313</v>
      </c>
      <c r="O21" s="22" t="s">
        <v>328</v>
      </c>
      <c r="P21" s="22" t="s">
        <v>161</v>
      </c>
      <c r="Q21" s="22"/>
      <c r="R21" s="22"/>
      <c r="S21" s="22"/>
      <c r="T21" s="22"/>
      <c r="U21" s="33">
        <v>45953</v>
      </c>
      <c r="V21" s="19" t="s">
        <v>161</v>
      </c>
      <c r="W21" s="19"/>
      <c r="X21" s="20"/>
      <c r="Y21" s="19"/>
      <c r="Z21" s="21">
        <v>165</v>
      </c>
      <c r="AA21" s="36" cm="1">
        <f t="array" ref="AA21">Vorlauf(Tabelle134[[#This Row],[Anbieter]])</f>
        <v>6</v>
      </c>
      <c r="AB21" s="37">
        <f>IFERROR(EDATE(Tabelle134[[#This Row],[Vertragsende]], -Tabelle134[[#This Row],[Vorlauf]]) + 1, "")</f>
        <v>45945</v>
      </c>
      <c r="AC21" s="37">
        <f>IFERROR(EDATE(Tabelle134[[#This Row],[Vertragsende]], -Tabelle134[[#This Row],[Vorlauf]] - 1) + 1, "")</f>
        <v>45915</v>
      </c>
    </row>
    <row r="22" spans="1:29" x14ac:dyDescent="0.25">
      <c r="A22" s="35">
        <f t="shared" si="1"/>
        <v>19</v>
      </c>
      <c r="B22" s="16" t="s">
        <v>143</v>
      </c>
      <c r="C22" s="16" t="s">
        <v>144</v>
      </c>
      <c r="D22" s="16" t="s">
        <v>336</v>
      </c>
      <c r="E22" s="16" t="s">
        <v>66</v>
      </c>
      <c r="F22" s="16" t="s">
        <v>337</v>
      </c>
      <c r="G22" s="18" t="s">
        <v>306</v>
      </c>
      <c r="H22" s="18"/>
      <c r="I22" s="32">
        <v>46126</v>
      </c>
      <c r="J22" s="32">
        <v>46096</v>
      </c>
      <c r="K22" s="32">
        <v>46023</v>
      </c>
      <c r="L22" s="16"/>
      <c r="M22" s="16"/>
      <c r="N22" s="18" t="s">
        <v>313</v>
      </c>
      <c r="O22" s="22" t="s">
        <v>328</v>
      </c>
      <c r="P22" s="22" t="s">
        <v>161</v>
      </c>
      <c r="Q22" s="22"/>
      <c r="R22" s="22"/>
      <c r="S22" s="22"/>
      <c r="T22" s="22"/>
      <c r="U22" s="33">
        <v>45953</v>
      </c>
      <c r="V22" s="19" t="s">
        <v>161</v>
      </c>
      <c r="W22" s="19"/>
      <c r="X22" s="20"/>
      <c r="Y22" s="19"/>
      <c r="Z22" s="21">
        <v>165</v>
      </c>
      <c r="AA22" s="36" cm="1">
        <f t="array" ref="AA22">Vorlauf(Tabelle134[[#This Row],[Anbieter]])</f>
        <v>6</v>
      </c>
      <c r="AB22" s="37">
        <f>IFERROR(EDATE(Tabelle134[[#This Row],[Vertragsende]], -Tabelle134[[#This Row],[Vorlauf]]) + 1, "")</f>
        <v>45945</v>
      </c>
      <c r="AC22" s="37">
        <f>IFERROR(EDATE(Tabelle134[[#This Row],[Vertragsende]], -Tabelle134[[#This Row],[Vorlauf]] - 1) + 1, "")</f>
        <v>45915</v>
      </c>
    </row>
    <row r="23" spans="1:29" x14ac:dyDescent="0.25">
      <c r="A23" s="35">
        <f t="shared" si="1"/>
        <v>20</v>
      </c>
      <c r="B23" s="16" t="s">
        <v>145</v>
      </c>
      <c r="C23" s="16" t="s">
        <v>146</v>
      </c>
      <c r="D23" s="16" t="s">
        <v>336</v>
      </c>
      <c r="E23" s="16" t="s">
        <v>66</v>
      </c>
      <c r="F23" s="16" t="s">
        <v>337</v>
      </c>
      <c r="G23" s="18" t="s">
        <v>306</v>
      </c>
      <c r="H23" s="18"/>
      <c r="I23" s="32">
        <v>46126</v>
      </c>
      <c r="J23" s="32">
        <v>46096</v>
      </c>
      <c r="K23" s="32">
        <v>46023</v>
      </c>
      <c r="L23" s="16"/>
      <c r="M23" s="16"/>
      <c r="N23" s="18" t="s">
        <v>313</v>
      </c>
      <c r="O23" s="22" t="s">
        <v>328</v>
      </c>
      <c r="P23" s="22" t="s">
        <v>161</v>
      </c>
      <c r="Q23" s="22"/>
      <c r="R23" s="22"/>
      <c r="S23" s="22"/>
      <c r="T23" s="22"/>
      <c r="U23" s="33">
        <v>45953</v>
      </c>
      <c r="V23" s="19" t="s">
        <v>161</v>
      </c>
      <c r="W23" s="19"/>
      <c r="X23" s="20"/>
      <c r="Y23" s="19"/>
      <c r="Z23" s="21">
        <v>165</v>
      </c>
      <c r="AA23" s="36" cm="1">
        <f t="array" ref="AA23">Vorlauf(Tabelle134[[#This Row],[Anbieter]])</f>
        <v>6</v>
      </c>
      <c r="AB23" s="37">
        <f>IFERROR(EDATE(Tabelle134[[#This Row],[Vertragsende]], -Tabelle134[[#This Row],[Vorlauf]]) + 1, "")</f>
        <v>45945</v>
      </c>
      <c r="AC23" s="37">
        <f>IFERROR(EDATE(Tabelle134[[#This Row],[Vertragsende]], -Tabelle134[[#This Row],[Vorlauf]] - 1) + 1, "")</f>
        <v>45915</v>
      </c>
    </row>
    <row r="24" spans="1:29" x14ac:dyDescent="0.25">
      <c r="A24" s="35">
        <f t="shared" si="1"/>
        <v>21</v>
      </c>
      <c r="B24" s="16" t="s">
        <v>147</v>
      </c>
      <c r="C24" s="16" t="s">
        <v>148</v>
      </c>
      <c r="D24" s="16" t="s">
        <v>336</v>
      </c>
      <c r="E24" s="16" t="s">
        <v>66</v>
      </c>
      <c r="F24" s="16" t="s">
        <v>337</v>
      </c>
      <c r="G24" s="18" t="s">
        <v>306</v>
      </c>
      <c r="H24" s="18"/>
      <c r="I24" s="32">
        <v>46126</v>
      </c>
      <c r="J24" s="32">
        <v>46096</v>
      </c>
      <c r="K24" s="32">
        <v>46023</v>
      </c>
      <c r="L24" s="16"/>
      <c r="M24" s="16"/>
      <c r="N24" s="18" t="s">
        <v>313</v>
      </c>
      <c r="O24" s="22" t="s">
        <v>328</v>
      </c>
      <c r="P24" s="22" t="s">
        <v>161</v>
      </c>
      <c r="Q24" s="22"/>
      <c r="R24" s="22"/>
      <c r="S24" s="22"/>
      <c r="T24" s="22"/>
      <c r="U24" s="33">
        <v>45953</v>
      </c>
      <c r="V24" s="19" t="s">
        <v>161</v>
      </c>
      <c r="W24" s="19"/>
      <c r="X24" s="20"/>
      <c r="Y24" s="19"/>
      <c r="Z24" s="21">
        <v>165</v>
      </c>
      <c r="AA24" s="36" cm="1">
        <f t="array" ref="AA24">Vorlauf(Tabelle134[[#This Row],[Anbieter]])</f>
        <v>6</v>
      </c>
      <c r="AB24" s="37">
        <f>IFERROR(EDATE(Tabelle134[[#This Row],[Vertragsende]], -Tabelle134[[#This Row],[Vorlauf]]) + 1, "")</f>
        <v>45945</v>
      </c>
      <c r="AC24" s="37">
        <f>IFERROR(EDATE(Tabelle134[[#This Row],[Vertragsende]], -Tabelle134[[#This Row],[Vorlauf]] - 1) + 1, "")</f>
        <v>45915</v>
      </c>
    </row>
    <row r="25" spans="1:29" x14ac:dyDescent="0.25">
      <c r="A25" s="35">
        <f t="shared" si="1"/>
        <v>22</v>
      </c>
      <c r="B25" s="16" t="s">
        <v>149</v>
      </c>
      <c r="C25" s="16" t="s">
        <v>330</v>
      </c>
      <c r="D25" s="16" t="s">
        <v>336</v>
      </c>
      <c r="E25" s="16" t="s">
        <v>66</v>
      </c>
      <c r="F25" s="16" t="s">
        <v>337</v>
      </c>
      <c r="G25" s="18" t="s">
        <v>306</v>
      </c>
      <c r="H25" s="18"/>
      <c r="I25" s="32">
        <v>46126</v>
      </c>
      <c r="J25" s="32">
        <v>46096</v>
      </c>
      <c r="K25" s="32">
        <v>46023</v>
      </c>
      <c r="L25" s="16"/>
      <c r="M25" s="16"/>
      <c r="N25" s="18" t="s">
        <v>313</v>
      </c>
      <c r="O25" s="22" t="s">
        <v>328</v>
      </c>
      <c r="P25" s="22" t="s">
        <v>161</v>
      </c>
      <c r="Q25" s="22"/>
      <c r="R25" s="22"/>
      <c r="S25" s="22"/>
      <c r="T25" s="22"/>
      <c r="U25" s="33">
        <v>45953</v>
      </c>
      <c r="V25" s="19" t="s">
        <v>161</v>
      </c>
      <c r="W25" s="19"/>
      <c r="X25" s="20"/>
      <c r="Y25" s="19"/>
      <c r="Z25" s="21">
        <v>165</v>
      </c>
      <c r="AA25" s="36" cm="1">
        <f t="array" ref="AA25">Vorlauf(Tabelle134[[#This Row],[Anbieter]])</f>
        <v>6</v>
      </c>
      <c r="AB25" s="37">
        <f>IFERROR(EDATE(Tabelle134[[#This Row],[Vertragsende]], -Tabelle134[[#This Row],[Vorlauf]]) + 1, "")</f>
        <v>45945</v>
      </c>
      <c r="AC25" s="37">
        <f>IFERROR(EDATE(Tabelle134[[#This Row],[Vertragsende]], -Tabelle134[[#This Row],[Vorlauf]] - 1) + 1, "")</f>
        <v>45915</v>
      </c>
    </row>
    <row r="26" spans="1:29" x14ac:dyDescent="0.25">
      <c r="A26" s="35">
        <f t="shared" si="1"/>
        <v>23</v>
      </c>
      <c r="B26" s="16" t="s">
        <v>151</v>
      </c>
      <c r="C26" s="16" t="s">
        <v>152</v>
      </c>
      <c r="D26" s="16" t="s">
        <v>336</v>
      </c>
      <c r="E26" s="16" t="s">
        <v>66</v>
      </c>
      <c r="F26" s="16" t="s">
        <v>337</v>
      </c>
      <c r="G26" s="18" t="s">
        <v>306</v>
      </c>
      <c r="H26" s="18"/>
      <c r="I26" s="32">
        <v>46126</v>
      </c>
      <c r="J26" s="32">
        <v>46096</v>
      </c>
      <c r="K26" s="32">
        <v>46023</v>
      </c>
      <c r="L26" s="16"/>
      <c r="M26" s="16"/>
      <c r="N26" s="18" t="s">
        <v>313</v>
      </c>
      <c r="O26" s="22" t="s">
        <v>328</v>
      </c>
      <c r="P26" s="22" t="s">
        <v>161</v>
      </c>
      <c r="Q26" s="22"/>
      <c r="R26" s="22"/>
      <c r="S26" s="22"/>
      <c r="T26" s="22"/>
      <c r="U26" s="33">
        <v>45953</v>
      </c>
      <c r="V26" s="19" t="s">
        <v>161</v>
      </c>
      <c r="W26" s="19"/>
      <c r="X26" s="20"/>
      <c r="Y26" s="19"/>
      <c r="Z26" s="21">
        <v>165</v>
      </c>
      <c r="AA26" s="36" cm="1">
        <f t="array" ref="AA26">Vorlauf(Tabelle134[[#This Row],[Anbieter]])</f>
        <v>6</v>
      </c>
      <c r="AB26" s="37">
        <f>IFERROR(EDATE(Tabelle134[[#This Row],[Vertragsende]], -Tabelle134[[#This Row],[Vorlauf]]) + 1, "")</f>
        <v>45945</v>
      </c>
      <c r="AC26" s="37">
        <f>IFERROR(EDATE(Tabelle134[[#This Row],[Vertragsende]], -Tabelle134[[#This Row],[Vorlauf]] - 1) + 1, "")</f>
        <v>45915</v>
      </c>
    </row>
    <row r="27" spans="1:29" x14ac:dyDescent="0.25">
      <c r="A27" s="35">
        <f t="shared" si="1"/>
        <v>24</v>
      </c>
      <c r="B27" s="16" t="s">
        <v>153</v>
      </c>
      <c r="C27" s="16" t="s">
        <v>154</v>
      </c>
      <c r="D27" s="16" t="s">
        <v>336</v>
      </c>
      <c r="E27" s="16" t="s">
        <v>66</v>
      </c>
      <c r="F27" s="16" t="s">
        <v>337</v>
      </c>
      <c r="G27" s="18" t="s">
        <v>306</v>
      </c>
      <c r="H27" s="18"/>
      <c r="I27" s="32">
        <v>46126</v>
      </c>
      <c r="J27" s="32">
        <v>46096</v>
      </c>
      <c r="K27" s="32">
        <v>46023</v>
      </c>
      <c r="L27" s="16"/>
      <c r="M27" s="16"/>
      <c r="N27" s="18" t="s">
        <v>313</v>
      </c>
      <c r="O27" s="22" t="s">
        <v>328</v>
      </c>
      <c r="P27" s="22" t="s">
        <v>161</v>
      </c>
      <c r="Q27" s="22"/>
      <c r="R27" s="22"/>
      <c r="S27" s="22"/>
      <c r="T27" s="22"/>
      <c r="U27" s="33">
        <v>45953</v>
      </c>
      <c r="V27" s="19" t="s">
        <v>161</v>
      </c>
      <c r="W27" s="19"/>
      <c r="X27" s="20"/>
      <c r="Y27" s="19"/>
      <c r="Z27" s="21">
        <v>165</v>
      </c>
      <c r="AA27" s="36" cm="1">
        <f t="array" ref="AA27">Vorlauf(Tabelle134[[#This Row],[Anbieter]])</f>
        <v>6</v>
      </c>
      <c r="AB27" s="37">
        <f>IFERROR(EDATE(Tabelle134[[#This Row],[Vertragsende]], -Tabelle134[[#This Row],[Vorlauf]]) + 1, "")</f>
        <v>45945</v>
      </c>
      <c r="AC27" s="37">
        <f>IFERROR(EDATE(Tabelle134[[#This Row],[Vertragsende]], -Tabelle134[[#This Row],[Vorlauf]] - 1) + 1, "")</f>
        <v>45915</v>
      </c>
    </row>
    <row r="28" spans="1:29" x14ac:dyDescent="0.25">
      <c r="A28" s="35">
        <f t="shared" si="1"/>
        <v>25</v>
      </c>
      <c r="B28" s="16" t="s">
        <v>155</v>
      </c>
      <c r="C28" s="16" t="s">
        <v>156</v>
      </c>
      <c r="D28" s="16" t="s">
        <v>336</v>
      </c>
      <c r="E28" s="16" t="s">
        <v>66</v>
      </c>
      <c r="F28" s="16" t="s">
        <v>337</v>
      </c>
      <c r="G28" s="18" t="s">
        <v>306</v>
      </c>
      <c r="H28" s="18"/>
      <c r="I28" s="32">
        <v>46126</v>
      </c>
      <c r="J28" s="32">
        <v>46096</v>
      </c>
      <c r="K28" s="32">
        <v>46023</v>
      </c>
      <c r="L28" s="16"/>
      <c r="M28" s="16"/>
      <c r="N28" s="18" t="s">
        <v>313</v>
      </c>
      <c r="O28" s="22" t="s">
        <v>328</v>
      </c>
      <c r="P28" s="22" t="s">
        <v>161</v>
      </c>
      <c r="Q28" s="22"/>
      <c r="R28" s="22"/>
      <c r="S28" s="22"/>
      <c r="T28" s="22"/>
      <c r="U28" s="33">
        <v>45953</v>
      </c>
      <c r="V28" s="19" t="s">
        <v>161</v>
      </c>
      <c r="W28" s="19"/>
      <c r="X28" s="20"/>
      <c r="Y28" s="19"/>
      <c r="Z28" s="21">
        <v>165</v>
      </c>
      <c r="AA28" s="36" cm="1">
        <f t="array" ref="AA28">Vorlauf(Tabelle134[[#This Row],[Anbieter]])</f>
        <v>6</v>
      </c>
      <c r="AB28" s="37">
        <f>IFERROR(EDATE(Tabelle134[[#This Row],[Vertragsende]], -Tabelle134[[#This Row],[Vorlauf]]) + 1, "")</f>
        <v>45945</v>
      </c>
      <c r="AC28" s="37">
        <f>IFERROR(EDATE(Tabelle134[[#This Row],[Vertragsende]], -Tabelle134[[#This Row],[Vorlauf]] - 1) + 1, "")</f>
        <v>45915</v>
      </c>
    </row>
    <row r="29" spans="1:29" x14ac:dyDescent="0.25">
      <c r="A29" s="35">
        <f t="shared" si="1"/>
        <v>26</v>
      </c>
      <c r="B29" s="16" t="s">
        <v>157</v>
      </c>
      <c r="C29" s="16" t="s">
        <v>158</v>
      </c>
      <c r="D29" s="16" t="s">
        <v>336</v>
      </c>
      <c r="E29" s="16" t="s">
        <v>66</v>
      </c>
      <c r="F29" s="16" t="s">
        <v>337</v>
      </c>
      <c r="G29" s="18" t="s">
        <v>306</v>
      </c>
      <c r="H29" s="18"/>
      <c r="I29" s="32">
        <v>46126</v>
      </c>
      <c r="J29" s="32">
        <v>46096</v>
      </c>
      <c r="K29" s="32">
        <v>46023</v>
      </c>
      <c r="L29" s="16"/>
      <c r="M29" s="16"/>
      <c r="N29" s="18" t="s">
        <v>313</v>
      </c>
      <c r="O29" s="22" t="s">
        <v>328</v>
      </c>
      <c r="P29" s="22" t="s">
        <v>161</v>
      </c>
      <c r="Q29" s="22"/>
      <c r="R29" s="22"/>
      <c r="S29" s="22"/>
      <c r="T29" s="22"/>
      <c r="U29" s="33">
        <v>45953</v>
      </c>
      <c r="V29" s="19" t="s">
        <v>161</v>
      </c>
      <c r="W29" s="19"/>
      <c r="X29" s="20"/>
      <c r="Y29" s="19"/>
      <c r="Z29" s="21">
        <v>165</v>
      </c>
      <c r="AA29" s="36" cm="1">
        <f t="array" ref="AA29">Vorlauf(Tabelle134[[#This Row],[Anbieter]])</f>
        <v>6</v>
      </c>
      <c r="AB29" s="37">
        <f>IFERROR(EDATE(Tabelle134[[#This Row],[Vertragsende]], -Tabelle134[[#This Row],[Vorlauf]]) + 1, "")</f>
        <v>45945</v>
      </c>
      <c r="AC29" s="37">
        <f>IFERROR(EDATE(Tabelle134[[#This Row],[Vertragsende]], -Tabelle134[[#This Row],[Vorlauf]] - 1) + 1, "")</f>
        <v>45915</v>
      </c>
    </row>
    <row r="30" spans="1:29" x14ac:dyDescent="0.25">
      <c r="A30" s="35">
        <f t="shared" si="1"/>
        <v>27</v>
      </c>
      <c r="B30" s="16" t="s">
        <v>159</v>
      </c>
      <c r="C30" s="16" t="s">
        <v>160</v>
      </c>
      <c r="D30" s="16" t="s">
        <v>336</v>
      </c>
      <c r="E30" s="16" t="s">
        <v>66</v>
      </c>
      <c r="F30" s="16" t="s">
        <v>337</v>
      </c>
      <c r="G30" s="18" t="s">
        <v>306</v>
      </c>
      <c r="H30" s="18"/>
      <c r="I30" s="32">
        <v>46126</v>
      </c>
      <c r="J30" s="32">
        <v>46096</v>
      </c>
      <c r="K30" s="32">
        <v>46023</v>
      </c>
      <c r="L30" s="16"/>
      <c r="M30" s="16"/>
      <c r="N30" s="18" t="s">
        <v>313</v>
      </c>
      <c r="O30" s="22" t="s">
        <v>328</v>
      </c>
      <c r="P30" s="22" t="s">
        <v>161</v>
      </c>
      <c r="Q30" s="22"/>
      <c r="R30" s="22"/>
      <c r="S30" s="22"/>
      <c r="T30" s="22"/>
      <c r="U30" s="33">
        <v>45953</v>
      </c>
      <c r="V30" s="19" t="s">
        <v>161</v>
      </c>
      <c r="W30" s="19"/>
      <c r="X30" s="20"/>
      <c r="Y30" s="19"/>
      <c r="Z30" s="21">
        <v>165</v>
      </c>
      <c r="AA30" s="36" cm="1">
        <f t="array" ref="AA30">Vorlauf(Tabelle134[[#This Row],[Anbieter]])</f>
        <v>6</v>
      </c>
      <c r="AB30" s="37">
        <f>IFERROR(EDATE(Tabelle134[[#This Row],[Vertragsende]], -Tabelle134[[#This Row],[Vorlauf]]) + 1, "")</f>
        <v>45945</v>
      </c>
      <c r="AC30" s="37">
        <f>IFERROR(EDATE(Tabelle134[[#This Row],[Vertragsende]], -Tabelle134[[#This Row],[Vorlauf]] - 1) + 1, "")</f>
        <v>45915</v>
      </c>
    </row>
    <row r="31" spans="1:29" x14ac:dyDescent="0.25">
      <c r="A31" s="35">
        <f t="shared" si="1"/>
        <v>28</v>
      </c>
      <c r="B31" s="16" t="s">
        <v>162</v>
      </c>
      <c r="C31" s="16" t="s">
        <v>163</v>
      </c>
      <c r="D31" s="16" t="s">
        <v>336</v>
      </c>
      <c r="E31" s="16" t="s">
        <v>66</v>
      </c>
      <c r="F31" s="16" t="s">
        <v>337</v>
      </c>
      <c r="G31" s="18" t="s">
        <v>306</v>
      </c>
      <c r="H31" s="18"/>
      <c r="I31" s="32">
        <v>46126</v>
      </c>
      <c r="J31" s="32">
        <v>46096</v>
      </c>
      <c r="K31" s="32">
        <v>46023</v>
      </c>
      <c r="L31" s="16"/>
      <c r="M31" s="16"/>
      <c r="N31" s="18" t="s">
        <v>313</v>
      </c>
      <c r="O31" s="22" t="s">
        <v>328</v>
      </c>
      <c r="P31" s="22" t="s">
        <v>161</v>
      </c>
      <c r="Q31" s="22"/>
      <c r="R31" s="22"/>
      <c r="S31" s="22"/>
      <c r="T31" s="22"/>
      <c r="U31" s="33">
        <v>45953</v>
      </c>
      <c r="V31" s="19" t="s">
        <v>161</v>
      </c>
      <c r="W31" s="19"/>
      <c r="X31" s="20"/>
      <c r="Y31" s="19"/>
      <c r="Z31" s="21">
        <v>165</v>
      </c>
      <c r="AA31" s="36" cm="1">
        <f t="array" ref="AA31">Vorlauf(Tabelle134[[#This Row],[Anbieter]])</f>
        <v>6</v>
      </c>
      <c r="AB31" s="37">
        <f>IFERROR(EDATE(Tabelle134[[#This Row],[Vertragsende]], -Tabelle134[[#This Row],[Vorlauf]]) + 1, "")</f>
        <v>45945</v>
      </c>
      <c r="AC31" s="37">
        <f>IFERROR(EDATE(Tabelle134[[#This Row],[Vertragsende]], -Tabelle134[[#This Row],[Vorlauf]] - 1) + 1, "")</f>
        <v>45915</v>
      </c>
    </row>
    <row r="32" spans="1:29" x14ac:dyDescent="0.25">
      <c r="A32" s="35">
        <f t="shared" si="1"/>
        <v>29</v>
      </c>
      <c r="B32" s="16" t="s">
        <v>164</v>
      </c>
      <c r="C32" s="16" t="s">
        <v>165</v>
      </c>
      <c r="D32" s="16" t="s">
        <v>336</v>
      </c>
      <c r="E32" s="16" t="s">
        <v>66</v>
      </c>
      <c r="F32" s="16" t="s">
        <v>337</v>
      </c>
      <c r="G32" s="18" t="s">
        <v>306</v>
      </c>
      <c r="H32" s="18"/>
      <c r="I32" s="32">
        <v>46126</v>
      </c>
      <c r="J32" s="32">
        <v>46096</v>
      </c>
      <c r="K32" s="32">
        <v>46023</v>
      </c>
      <c r="L32" s="16"/>
      <c r="M32" s="16"/>
      <c r="N32" s="18" t="s">
        <v>313</v>
      </c>
      <c r="O32" s="22" t="s">
        <v>328</v>
      </c>
      <c r="P32" s="22" t="s">
        <v>161</v>
      </c>
      <c r="Q32" s="22"/>
      <c r="R32" s="22"/>
      <c r="S32" s="22"/>
      <c r="T32" s="22"/>
      <c r="U32" s="33">
        <v>45953</v>
      </c>
      <c r="V32" s="19" t="s">
        <v>161</v>
      </c>
      <c r="W32" s="19"/>
      <c r="X32" s="20"/>
      <c r="Y32" s="19"/>
      <c r="Z32" s="21">
        <v>165</v>
      </c>
      <c r="AA32" s="36" cm="1">
        <f t="array" ref="AA32">Vorlauf(Tabelle134[[#This Row],[Anbieter]])</f>
        <v>6</v>
      </c>
      <c r="AB32" s="37">
        <f>IFERROR(EDATE(Tabelle134[[#This Row],[Vertragsende]], -Tabelle134[[#This Row],[Vorlauf]]) + 1, "")</f>
        <v>45945</v>
      </c>
      <c r="AC32" s="37">
        <f>IFERROR(EDATE(Tabelle134[[#This Row],[Vertragsende]], -Tabelle134[[#This Row],[Vorlauf]] - 1) + 1, "")</f>
        <v>45915</v>
      </c>
    </row>
    <row r="33" spans="1:29" x14ac:dyDescent="0.25">
      <c r="A33" s="35">
        <f t="shared" si="1"/>
        <v>30</v>
      </c>
      <c r="B33" s="16" t="s">
        <v>166</v>
      </c>
      <c r="C33" s="16" t="s">
        <v>167</v>
      </c>
      <c r="D33" s="16" t="s">
        <v>336</v>
      </c>
      <c r="E33" s="16" t="s">
        <v>66</v>
      </c>
      <c r="F33" s="16" t="s">
        <v>337</v>
      </c>
      <c r="G33" s="18" t="s">
        <v>306</v>
      </c>
      <c r="H33" s="18"/>
      <c r="I33" s="32">
        <v>46126</v>
      </c>
      <c r="J33" s="32">
        <v>46096</v>
      </c>
      <c r="K33" s="32">
        <v>46023</v>
      </c>
      <c r="L33" s="16"/>
      <c r="M33" s="16"/>
      <c r="N33" s="18" t="s">
        <v>313</v>
      </c>
      <c r="O33" s="22" t="s">
        <v>328</v>
      </c>
      <c r="P33" s="22" t="s">
        <v>161</v>
      </c>
      <c r="Q33" s="22"/>
      <c r="R33" s="22"/>
      <c r="S33" s="22"/>
      <c r="T33" s="22"/>
      <c r="U33" s="33">
        <v>45953</v>
      </c>
      <c r="V33" s="19" t="s">
        <v>161</v>
      </c>
      <c r="W33" s="19"/>
      <c r="X33" s="20"/>
      <c r="Y33" s="19"/>
      <c r="Z33" s="21">
        <v>165</v>
      </c>
      <c r="AA33" s="36" cm="1">
        <f t="array" ref="AA33">Vorlauf(Tabelle134[[#This Row],[Anbieter]])</f>
        <v>6</v>
      </c>
      <c r="AB33" s="37">
        <f>IFERROR(EDATE(Tabelle134[[#This Row],[Vertragsende]], -Tabelle134[[#This Row],[Vorlauf]]) + 1, "")</f>
        <v>45945</v>
      </c>
      <c r="AC33" s="37">
        <f>IFERROR(EDATE(Tabelle134[[#This Row],[Vertragsende]], -Tabelle134[[#This Row],[Vorlauf]] - 1) + 1, "")</f>
        <v>45915</v>
      </c>
    </row>
    <row r="34" spans="1:29" x14ac:dyDescent="0.25">
      <c r="A34" s="35">
        <f t="shared" si="1"/>
        <v>31</v>
      </c>
      <c r="B34" s="16" t="s">
        <v>168</v>
      </c>
      <c r="C34" s="16" t="s">
        <v>169</v>
      </c>
      <c r="D34" s="16" t="s">
        <v>336</v>
      </c>
      <c r="E34" s="16" t="s">
        <v>66</v>
      </c>
      <c r="F34" s="16" t="s">
        <v>337</v>
      </c>
      <c r="G34" s="18" t="s">
        <v>306</v>
      </c>
      <c r="H34" s="18"/>
      <c r="I34" s="32">
        <v>46126</v>
      </c>
      <c r="J34" s="32">
        <v>46096</v>
      </c>
      <c r="K34" s="32">
        <v>46023</v>
      </c>
      <c r="L34" s="16"/>
      <c r="M34" s="16"/>
      <c r="N34" s="18" t="s">
        <v>313</v>
      </c>
      <c r="O34" s="22" t="s">
        <v>328</v>
      </c>
      <c r="P34" s="22" t="s">
        <v>161</v>
      </c>
      <c r="Q34" s="22"/>
      <c r="R34" s="22"/>
      <c r="S34" s="22"/>
      <c r="T34" s="22"/>
      <c r="U34" s="33">
        <v>45953</v>
      </c>
      <c r="V34" s="19" t="s">
        <v>161</v>
      </c>
      <c r="W34" s="19"/>
      <c r="X34" s="20"/>
      <c r="Y34" s="19"/>
      <c r="Z34" s="21">
        <v>165</v>
      </c>
      <c r="AA34" s="36" cm="1">
        <f t="array" ref="AA34">Vorlauf(Tabelle134[[#This Row],[Anbieter]])</f>
        <v>6</v>
      </c>
      <c r="AB34" s="37">
        <f>IFERROR(EDATE(Tabelle134[[#This Row],[Vertragsende]], -Tabelle134[[#This Row],[Vorlauf]]) + 1, "")</f>
        <v>45945</v>
      </c>
      <c r="AC34" s="37">
        <f>IFERROR(EDATE(Tabelle134[[#This Row],[Vertragsende]], -Tabelle134[[#This Row],[Vorlauf]] - 1) + 1, "")</f>
        <v>45915</v>
      </c>
    </row>
    <row r="35" spans="1:29" x14ac:dyDescent="0.25">
      <c r="A35" s="35">
        <f t="shared" si="1"/>
        <v>32</v>
      </c>
      <c r="B35" s="16" t="s">
        <v>170</v>
      </c>
      <c r="C35" s="16" t="s">
        <v>171</v>
      </c>
      <c r="D35" s="16" t="s">
        <v>336</v>
      </c>
      <c r="E35" s="16" t="s">
        <v>66</v>
      </c>
      <c r="F35" s="16" t="s">
        <v>337</v>
      </c>
      <c r="G35" s="18" t="s">
        <v>306</v>
      </c>
      <c r="H35" s="18"/>
      <c r="I35" s="32">
        <v>46126</v>
      </c>
      <c r="J35" s="32">
        <v>46096</v>
      </c>
      <c r="K35" s="32">
        <v>46023</v>
      </c>
      <c r="L35" s="16"/>
      <c r="M35" s="16"/>
      <c r="N35" s="18" t="s">
        <v>313</v>
      </c>
      <c r="O35" s="22" t="s">
        <v>328</v>
      </c>
      <c r="P35" s="22" t="s">
        <v>161</v>
      </c>
      <c r="Q35" s="22"/>
      <c r="R35" s="22"/>
      <c r="S35" s="22"/>
      <c r="T35" s="22"/>
      <c r="U35" s="33">
        <v>45953</v>
      </c>
      <c r="V35" s="19" t="s">
        <v>161</v>
      </c>
      <c r="W35" s="19"/>
      <c r="X35" s="20"/>
      <c r="Y35" s="19"/>
      <c r="Z35" s="21">
        <v>165</v>
      </c>
      <c r="AA35" s="36" cm="1">
        <f t="array" ref="AA35">Vorlauf(Tabelle134[[#This Row],[Anbieter]])</f>
        <v>6</v>
      </c>
      <c r="AB35" s="37">
        <f>IFERROR(EDATE(Tabelle134[[#This Row],[Vertragsende]], -Tabelle134[[#This Row],[Vorlauf]]) + 1, "")</f>
        <v>45945</v>
      </c>
      <c r="AC35" s="37">
        <f>IFERROR(EDATE(Tabelle134[[#This Row],[Vertragsende]], -Tabelle134[[#This Row],[Vorlauf]] - 1) + 1, "")</f>
        <v>45915</v>
      </c>
    </row>
    <row r="36" spans="1:29" x14ac:dyDescent="0.25">
      <c r="A36" s="35">
        <f t="shared" si="1"/>
        <v>33</v>
      </c>
      <c r="B36" s="16" t="s">
        <v>172</v>
      </c>
      <c r="C36" s="16" t="s">
        <v>331</v>
      </c>
      <c r="D36" s="16" t="s">
        <v>336</v>
      </c>
      <c r="E36" s="16" t="s">
        <v>66</v>
      </c>
      <c r="F36" s="16" t="s">
        <v>337</v>
      </c>
      <c r="G36" s="18" t="s">
        <v>306</v>
      </c>
      <c r="H36" s="18"/>
      <c r="I36" s="32">
        <v>46126</v>
      </c>
      <c r="J36" s="32">
        <v>46096</v>
      </c>
      <c r="K36" s="32">
        <v>46023</v>
      </c>
      <c r="L36" s="16"/>
      <c r="M36" s="16"/>
      <c r="N36" s="18" t="s">
        <v>313</v>
      </c>
      <c r="O36" s="22" t="s">
        <v>328</v>
      </c>
      <c r="P36" s="22" t="s">
        <v>161</v>
      </c>
      <c r="Q36" s="22"/>
      <c r="R36" s="22"/>
      <c r="S36" s="22"/>
      <c r="T36" s="22"/>
      <c r="U36" s="33">
        <v>45953</v>
      </c>
      <c r="V36" s="19" t="s">
        <v>161</v>
      </c>
      <c r="W36" s="19"/>
      <c r="X36" s="20"/>
      <c r="Y36" s="19"/>
      <c r="Z36" s="21">
        <v>165</v>
      </c>
      <c r="AA36" s="36" cm="1">
        <f t="array" ref="AA36">Vorlauf(Tabelle134[[#This Row],[Anbieter]])</f>
        <v>6</v>
      </c>
      <c r="AB36" s="37">
        <f>IFERROR(EDATE(Tabelle134[[#This Row],[Vertragsende]], -Tabelle134[[#This Row],[Vorlauf]]) + 1, "")</f>
        <v>45945</v>
      </c>
      <c r="AC36" s="37">
        <f>IFERROR(EDATE(Tabelle134[[#This Row],[Vertragsende]], -Tabelle134[[#This Row],[Vorlauf]] - 1) + 1, "")</f>
        <v>45915</v>
      </c>
    </row>
    <row r="37" spans="1:29" x14ac:dyDescent="0.25">
      <c r="A37" s="35">
        <f t="shared" ref="A37:A68" si="2">ROW()-3</f>
        <v>34</v>
      </c>
      <c r="B37" s="16" t="s">
        <v>174</v>
      </c>
      <c r="C37" s="16" t="s">
        <v>175</v>
      </c>
      <c r="D37" s="16" t="s">
        <v>336</v>
      </c>
      <c r="E37" s="16" t="s">
        <v>66</v>
      </c>
      <c r="F37" s="16" t="s">
        <v>337</v>
      </c>
      <c r="G37" s="18" t="s">
        <v>306</v>
      </c>
      <c r="H37" s="18"/>
      <c r="I37" s="32">
        <v>46126</v>
      </c>
      <c r="J37" s="32">
        <v>46096</v>
      </c>
      <c r="K37" s="32">
        <v>46023</v>
      </c>
      <c r="L37" s="16"/>
      <c r="M37" s="16"/>
      <c r="N37" s="18" t="s">
        <v>313</v>
      </c>
      <c r="O37" s="22" t="s">
        <v>328</v>
      </c>
      <c r="P37" s="22" t="s">
        <v>161</v>
      </c>
      <c r="Q37" s="22"/>
      <c r="R37" s="22"/>
      <c r="S37" s="22"/>
      <c r="T37" s="22"/>
      <c r="U37" s="33">
        <v>45953</v>
      </c>
      <c r="V37" s="19" t="s">
        <v>161</v>
      </c>
      <c r="W37" s="19"/>
      <c r="X37" s="20"/>
      <c r="Y37" s="19"/>
      <c r="Z37" s="21">
        <v>165</v>
      </c>
      <c r="AA37" s="36" cm="1">
        <f t="array" ref="AA37">Vorlauf(Tabelle134[[#This Row],[Anbieter]])</f>
        <v>6</v>
      </c>
      <c r="AB37" s="37">
        <f>IFERROR(EDATE(Tabelle134[[#This Row],[Vertragsende]], -Tabelle134[[#This Row],[Vorlauf]]) + 1, "")</f>
        <v>45945</v>
      </c>
      <c r="AC37" s="37">
        <f>IFERROR(EDATE(Tabelle134[[#This Row],[Vertragsende]], -Tabelle134[[#This Row],[Vorlauf]] - 1) + 1, "")</f>
        <v>45915</v>
      </c>
    </row>
    <row r="38" spans="1:29" x14ac:dyDescent="0.25">
      <c r="A38" s="35">
        <f t="shared" si="2"/>
        <v>35</v>
      </c>
      <c r="B38" s="16" t="s">
        <v>176</v>
      </c>
      <c r="C38" s="16" t="s">
        <v>177</v>
      </c>
      <c r="D38" s="16" t="s">
        <v>336</v>
      </c>
      <c r="E38" s="16" t="s">
        <v>66</v>
      </c>
      <c r="F38" s="16" t="s">
        <v>337</v>
      </c>
      <c r="G38" s="18" t="s">
        <v>306</v>
      </c>
      <c r="H38" s="18"/>
      <c r="I38" s="32">
        <v>46126</v>
      </c>
      <c r="J38" s="32">
        <v>46096</v>
      </c>
      <c r="K38" s="32">
        <v>46023</v>
      </c>
      <c r="L38" s="16"/>
      <c r="M38" s="16"/>
      <c r="N38" s="18" t="s">
        <v>313</v>
      </c>
      <c r="O38" s="22" t="s">
        <v>328</v>
      </c>
      <c r="P38" s="22" t="s">
        <v>161</v>
      </c>
      <c r="Q38" s="22"/>
      <c r="R38" s="22"/>
      <c r="S38" s="22"/>
      <c r="T38" s="22"/>
      <c r="U38" s="33">
        <v>45953</v>
      </c>
      <c r="V38" s="19" t="s">
        <v>161</v>
      </c>
      <c r="W38" s="19"/>
      <c r="X38" s="20"/>
      <c r="Y38" s="19"/>
      <c r="Z38" s="21">
        <v>165</v>
      </c>
      <c r="AA38" s="36" cm="1">
        <f t="array" ref="AA38">Vorlauf(Tabelle134[[#This Row],[Anbieter]])</f>
        <v>6</v>
      </c>
      <c r="AB38" s="37">
        <f>IFERROR(EDATE(Tabelle134[[#This Row],[Vertragsende]], -Tabelle134[[#This Row],[Vorlauf]]) + 1, "")</f>
        <v>45945</v>
      </c>
      <c r="AC38" s="37">
        <f>IFERROR(EDATE(Tabelle134[[#This Row],[Vertragsende]], -Tabelle134[[#This Row],[Vorlauf]] - 1) + 1, "")</f>
        <v>45915</v>
      </c>
    </row>
    <row r="39" spans="1:29" x14ac:dyDescent="0.25">
      <c r="A39" s="35">
        <f t="shared" si="2"/>
        <v>36</v>
      </c>
      <c r="B39" s="16" t="s">
        <v>178</v>
      </c>
      <c r="C39" s="16" t="s">
        <v>179</v>
      </c>
      <c r="D39" s="16" t="s">
        <v>336</v>
      </c>
      <c r="E39" s="16" t="s">
        <v>66</v>
      </c>
      <c r="F39" s="16" t="s">
        <v>337</v>
      </c>
      <c r="G39" s="18" t="s">
        <v>306</v>
      </c>
      <c r="H39" s="18"/>
      <c r="I39" s="32">
        <v>46126</v>
      </c>
      <c r="J39" s="32">
        <v>46096</v>
      </c>
      <c r="K39" s="32">
        <v>46023</v>
      </c>
      <c r="L39" s="16"/>
      <c r="M39" s="16"/>
      <c r="N39" s="18" t="s">
        <v>313</v>
      </c>
      <c r="O39" s="22" t="s">
        <v>328</v>
      </c>
      <c r="P39" s="22" t="s">
        <v>161</v>
      </c>
      <c r="Q39" s="22"/>
      <c r="R39" s="22"/>
      <c r="S39" s="22"/>
      <c r="T39" s="22"/>
      <c r="U39" s="33">
        <v>45953</v>
      </c>
      <c r="V39" s="19" t="s">
        <v>161</v>
      </c>
      <c r="W39" s="19"/>
      <c r="X39" s="20"/>
      <c r="Y39" s="19"/>
      <c r="Z39" s="21">
        <v>165</v>
      </c>
      <c r="AA39" s="36" cm="1">
        <f t="array" ref="AA39">Vorlauf(Tabelle134[[#This Row],[Anbieter]])</f>
        <v>6</v>
      </c>
      <c r="AB39" s="37">
        <f>IFERROR(EDATE(Tabelle134[[#This Row],[Vertragsende]], -Tabelle134[[#This Row],[Vorlauf]]) + 1, "")</f>
        <v>45945</v>
      </c>
      <c r="AC39" s="37">
        <f>IFERROR(EDATE(Tabelle134[[#This Row],[Vertragsende]], -Tabelle134[[#This Row],[Vorlauf]] - 1) + 1, "")</f>
        <v>45915</v>
      </c>
    </row>
    <row r="40" spans="1:29" x14ac:dyDescent="0.25">
      <c r="A40" s="35">
        <f t="shared" si="2"/>
        <v>37</v>
      </c>
      <c r="B40" s="16" t="s">
        <v>180</v>
      </c>
      <c r="C40" s="16" t="s">
        <v>181</v>
      </c>
      <c r="D40" s="16" t="s">
        <v>336</v>
      </c>
      <c r="E40" s="16" t="s">
        <v>66</v>
      </c>
      <c r="F40" s="16" t="s">
        <v>337</v>
      </c>
      <c r="G40" s="18" t="s">
        <v>306</v>
      </c>
      <c r="H40" s="18"/>
      <c r="I40" s="32">
        <v>46126</v>
      </c>
      <c r="J40" s="32">
        <v>46096</v>
      </c>
      <c r="K40" s="32">
        <v>46023</v>
      </c>
      <c r="L40" s="16"/>
      <c r="M40" s="16"/>
      <c r="N40" s="18" t="s">
        <v>313</v>
      </c>
      <c r="O40" s="22" t="s">
        <v>328</v>
      </c>
      <c r="P40" s="22" t="s">
        <v>161</v>
      </c>
      <c r="Q40" s="22"/>
      <c r="R40" s="22"/>
      <c r="S40" s="22"/>
      <c r="T40" s="22"/>
      <c r="U40" s="33">
        <v>45953</v>
      </c>
      <c r="V40" s="19" t="s">
        <v>161</v>
      </c>
      <c r="W40" s="19"/>
      <c r="X40" s="20"/>
      <c r="Y40" s="19"/>
      <c r="Z40" s="21">
        <v>165</v>
      </c>
      <c r="AA40" s="36" cm="1">
        <f t="array" ref="AA40">Vorlauf(Tabelle134[[#This Row],[Anbieter]])</f>
        <v>6</v>
      </c>
      <c r="AB40" s="37">
        <f>IFERROR(EDATE(Tabelle134[[#This Row],[Vertragsende]], -Tabelle134[[#This Row],[Vorlauf]]) + 1, "")</f>
        <v>45945</v>
      </c>
      <c r="AC40" s="37">
        <f>IFERROR(EDATE(Tabelle134[[#This Row],[Vertragsende]], -Tabelle134[[#This Row],[Vorlauf]] - 1) + 1, "")</f>
        <v>45915</v>
      </c>
    </row>
    <row r="41" spans="1:29" x14ac:dyDescent="0.25">
      <c r="A41" s="35">
        <f t="shared" si="2"/>
        <v>38</v>
      </c>
      <c r="B41" s="16" t="s">
        <v>182</v>
      </c>
      <c r="C41" s="16" t="s">
        <v>183</v>
      </c>
      <c r="D41" s="16" t="s">
        <v>336</v>
      </c>
      <c r="E41" s="16" t="s">
        <v>66</v>
      </c>
      <c r="F41" s="16" t="s">
        <v>337</v>
      </c>
      <c r="G41" s="18" t="s">
        <v>306</v>
      </c>
      <c r="H41" s="18"/>
      <c r="I41" s="32">
        <v>46126</v>
      </c>
      <c r="J41" s="32">
        <v>46096</v>
      </c>
      <c r="K41" s="32">
        <v>46023</v>
      </c>
      <c r="L41" s="16"/>
      <c r="M41" s="16"/>
      <c r="N41" s="18" t="s">
        <v>313</v>
      </c>
      <c r="O41" s="22" t="s">
        <v>328</v>
      </c>
      <c r="P41" s="22" t="s">
        <v>161</v>
      </c>
      <c r="Q41" s="22"/>
      <c r="R41" s="22"/>
      <c r="S41" s="22"/>
      <c r="T41" s="22"/>
      <c r="U41" s="33">
        <v>45953</v>
      </c>
      <c r="V41" s="19" t="s">
        <v>161</v>
      </c>
      <c r="W41" s="19"/>
      <c r="X41" s="20"/>
      <c r="Y41" s="19"/>
      <c r="Z41" s="21">
        <v>165</v>
      </c>
      <c r="AA41" s="36" cm="1">
        <f t="array" ref="AA41">Vorlauf(Tabelle134[[#This Row],[Anbieter]])</f>
        <v>6</v>
      </c>
      <c r="AB41" s="37">
        <f>IFERROR(EDATE(Tabelle134[[#This Row],[Vertragsende]], -Tabelle134[[#This Row],[Vorlauf]]) + 1, "")</f>
        <v>45945</v>
      </c>
      <c r="AC41" s="37">
        <f>IFERROR(EDATE(Tabelle134[[#This Row],[Vertragsende]], -Tabelle134[[#This Row],[Vorlauf]] - 1) + 1, "")</f>
        <v>45915</v>
      </c>
    </row>
    <row r="42" spans="1:29" x14ac:dyDescent="0.25">
      <c r="A42" s="35">
        <f t="shared" si="2"/>
        <v>39</v>
      </c>
      <c r="B42" s="16" t="s">
        <v>184</v>
      </c>
      <c r="C42" s="16" t="s">
        <v>185</v>
      </c>
      <c r="D42" s="16" t="s">
        <v>336</v>
      </c>
      <c r="E42" s="16" t="s">
        <v>66</v>
      </c>
      <c r="F42" s="16" t="s">
        <v>337</v>
      </c>
      <c r="G42" s="18" t="s">
        <v>306</v>
      </c>
      <c r="H42" s="18"/>
      <c r="I42" s="32">
        <v>46126</v>
      </c>
      <c r="J42" s="32">
        <v>46096</v>
      </c>
      <c r="K42" s="32">
        <v>46023</v>
      </c>
      <c r="L42" s="16"/>
      <c r="M42" s="16"/>
      <c r="N42" s="18" t="s">
        <v>313</v>
      </c>
      <c r="O42" s="22" t="s">
        <v>328</v>
      </c>
      <c r="P42" s="22" t="s">
        <v>161</v>
      </c>
      <c r="Q42" s="22"/>
      <c r="R42" s="22"/>
      <c r="S42" s="22"/>
      <c r="T42" s="22"/>
      <c r="U42" s="33">
        <v>45953</v>
      </c>
      <c r="V42" s="19" t="s">
        <v>161</v>
      </c>
      <c r="W42" s="19"/>
      <c r="X42" s="20"/>
      <c r="Y42" s="19"/>
      <c r="Z42" s="21">
        <v>165</v>
      </c>
      <c r="AA42" s="36" cm="1">
        <f t="array" ref="AA42">Vorlauf(Tabelle134[[#This Row],[Anbieter]])</f>
        <v>6</v>
      </c>
      <c r="AB42" s="37">
        <f>IFERROR(EDATE(Tabelle134[[#This Row],[Vertragsende]], -Tabelle134[[#This Row],[Vorlauf]]) + 1, "")</f>
        <v>45945</v>
      </c>
      <c r="AC42" s="37">
        <f>IFERROR(EDATE(Tabelle134[[#This Row],[Vertragsende]], -Tabelle134[[#This Row],[Vorlauf]] - 1) + 1, "")</f>
        <v>45915</v>
      </c>
    </row>
    <row r="43" spans="1:29" x14ac:dyDescent="0.25">
      <c r="A43" s="35">
        <f t="shared" si="2"/>
        <v>40</v>
      </c>
      <c r="B43" s="16" t="s">
        <v>186</v>
      </c>
      <c r="C43" s="16" t="s">
        <v>187</v>
      </c>
      <c r="D43" s="16" t="s">
        <v>336</v>
      </c>
      <c r="E43" s="16" t="s">
        <v>66</v>
      </c>
      <c r="F43" s="16" t="s">
        <v>337</v>
      </c>
      <c r="G43" s="18" t="s">
        <v>306</v>
      </c>
      <c r="H43" s="18"/>
      <c r="I43" s="32">
        <v>46126</v>
      </c>
      <c r="J43" s="32">
        <v>46096</v>
      </c>
      <c r="K43" s="32">
        <v>46023</v>
      </c>
      <c r="L43" s="16"/>
      <c r="M43" s="16"/>
      <c r="N43" s="18" t="s">
        <v>313</v>
      </c>
      <c r="O43" s="22" t="s">
        <v>328</v>
      </c>
      <c r="P43" s="22" t="s">
        <v>161</v>
      </c>
      <c r="Q43" s="22"/>
      <c r="R43" s="22"/>
      <c r="S43" s="22"/>
      <c r="T43" s="22"/>
      <c r="U43" s="33">
        <v>45953</v>
      </c>
      <c r="V43" s="19" t="s">
        <v>161</v>
      </c>
      <c r="W43" s="19"/>
      <c r="X43" s="20"/>
      <c r="Y43" s="19"/>
      <c r="Z43" s="21">
        <v>165</v>
      </c>
      <c r="AA43" s="36" cm="1">
        <f t="array" ref="AA43">Vorlauf(Tabelle134[[#This Row],[Anbieter]])</f>
        <v>6</v>
      </c>
      <c r="AB43" s="37">
        <f>IFERROR(EDATE(Tabelle134[[#This Row],[Vertragsende]], -Tabelle134[[#This Row],[Vorlauf]]) + 1, "")</f>
        <v>45945</v>
      </c>
      <c r="AC43" s="37">
        <f>IFERROR(EDATE(Tabelle134[[#This Row],[Vertragsende]], -Tabelle134[[#This Row],[Vorlauf]] - 1) + 1, "")</f>
        <v>45915</v>
      </c>
    </row>
    <row r="44" spans="1:29" x14ac:dyDescent="0.25">
      <c r="A44" s="35">
        <f t="shared" si="2"/>
        <v>41</v>
      </c>
      <c r="B44" s="16" t="s">
        <v>188</v>
      </c>
      <c r="C44" s="16" t="s">
        <v>189</v>
      </c>
      <c r="D44" s="16" t="s">
        <v>336</v>
      </c>
      <c r="E44" s="16" t="s">
        <v>66</v>
      </c>
      <c r="F44" s="16" t="s">
        <v>337</v>
      </c>
      <c r="G44" s="18" t="s">
        <v>306</v>
      </c>
      <c r="H44" s="18"/>
      <c r="I44" s="32">
        <v>46126</v>
      </c>
      <c r="J44" s="32">
        <v>46096</v>
      </c>
      <c r="K44" s="32">
        <v>46023</v>
      </c>
      <c r="L44" s="16"/>
      <c r="M44" s="16"/>
      <c r="N44" s="18" t="s">
        <v>313</v>
      </c>
      <c r="O44" s="22" t="s">
        <v>328</v>
      </c>
      <c r="P44" s="22" t="s">
        <v>161</v>
      </c>
      <c r="Q44" s="22"/>
      <c r="R44" s="22"/>
      <c r="S44" s="22"/>
      <c r="T44" s="22"/>
      <c r="U44" s="33">
        <v>45953</v>
      </c>
      <c r="V44" s="19" t="s">
        <v>161</v>
      </c>
      <c r="W44" s="19"/>
      <c r="X44" s="20"/>
      <c r="Y44" s="19"/>
      <c r="Z44" s="21">
        <v>165</v>
      </c>
      <c r="AA44" s="36" cm="1">
        <f t="array" ref="AA44">Vorlauf(Tabelle134[[#This Row],[Anbieter]])</f>
        <v>6</v>
      </c>
      <c r="AB44" s="37">
        <f>IFERROR(EDATE(Tabelle134[[#This Row],[Vertragsende]], -Tabelle134[[#This Row],[Vorlauf]]) + 1, "")</f>
        <v>45945</v>
      </c>
      <c r="AC44" s="37">
        <f>IFERROR(EDATE(Tabelle134[[#This Row],[Vertragsende]], -Tabelle134[[#This Row],[Vorlauf]] - 1) + 1, "")</f>
        <v>45915</v>
      </c>
    </row>
    <row r="45" spans="1:29" x14ac:dyDescent="0.25">
      <c r="A45" s="35">
        <f t="shared" si="2"/>
        <v>42</v>
      </c>
      <c r="B45" s="16" t="s">
        <v>190</v>
      </c>
      <c r="C45" s="16" t="s">
        <v>191</v>
      </c>
      <c r="D45" s="16" t="s">
        <v>336</v>
      </c>
      <c r="E45" s="16" t="s">
        <v>66</v>
      </c>
      <c r="F45" s="16" t="s">
        <v>337</v>
      </c>
      <c r="G45" s="18" t="s">
        <v>306</v>
      </c>
      <c r="H45" s="18"/>
      <c r="I45" s="32">
        <v>46126</v>
      </c>
      <c r="J45" s="32">
        <v>46096</v>
      </c>
      <c r="K45" s="32">
        <v>46023</v>
      </c>
      <c r="L45" s="16"/>
      <c r="M45" s="16"/>
      <c r="N45" s="18" t="s">
        <v>313</v>
      </c>
      <c r="O45" s="22" t="s">
        <v>328</v>
      </c>
      <c r="P45" s="22" t="s">
        <v>161</v>
      </c>
      <c r="Q45" s="22"/>
      <c r="R45" s="22"/>
      <c r="S45" s="22"/>
      <c r="T45" s="22"/>
      <c r="U45" s="33">
        <v>45953</v>
      </c>
      <c r="V45" s="19" t="s">
        <v>161</v>
      </c>
      <c r="W45" s="19"/>
      <c r="X45" s="20"/>
      <c r="Y45" s="19"/>
      <c r="Z45" s="21">
        <v>165</v>
      </c>
      <c r="AA45" s="36" cm="1">
        <f t="array" ref="AA45">Vorlauf(Tabelle134[[#This Row],[Anbieter]])</f>
        <v>6</v>
      </c>
      <c r="AB45" s="37">
        <f>IFERROR(EDATE(Tabelle134[[#This Row],[Vertragsende]], -Tabelle134[[#This Row],[Vorlauf]]) + 1, "")</f>
        <v>45945</v>
      </c>
      <c r="AC45" s="37">
        <f>IFERROR(EDATE(Tabelle134[[#This Row],[Vertragsende]], -Tabelle134[[#This Row],[Vorlauf]] - 1) + 1, "")</f>
        <v>45915</v>
      </c>
    </row>
    <row r="46" spans="1:29" x14ac:dyDescent="0.25">
      <c r="A46" s="35">
        <f t="shared" si="2"/>
        <v>43</v>
      </c>
      <c r="B46" s="16" t="s">
        <v>192</v>
      </c>
      <c r="C46" s="16" t="s">
        <v>193</v>
      </c>
      <c r="D46" s="16" t="s">
        <v>336</v>
      </c>
      <c r="E46" s="16" t="s">
        <v>66</v>
      </c>
      <c r="F46" s="16" t="s">
        <v>337</v>
      </c>
      <c r="G46" s="18" t="s">
        <v>306</v>
      </c>
      <c r="H46" s="18"/>
      <c r="I46" s="32">
        <v>46126</v>
      </c>
      <c r="J46" s="32">
        <v>46096</v>
      </c>
      <c r="K46" s="32">
        <v>46023</v>
      </c>
      <c r="L46" s="16"/>
      <c r="M46" s="16"/>
      <c r="N46" s="18" t="s">
        <v>313</v>
      </c>
      <c r="O46" s="22" t="s">
        <v>328</v>
      </c>
      <c r="P46" s="22" t="s">
        <v>161</v>
      </c>
      <c r="Q46" s="22"/>
      <c r="R46" s="22"/>
      <c r="S46" s="22"/>
      <c r="T46" s="22"/>
      <c r="U46" s="33">
        <v>45953</v>
      </c>
      <c r="V46" s="19" t="s">
        <v>161</v>
      </c>
      <c r="W46" s="19"/>
      <c r="X46" s="20"/>
      <c r="Y46" s="19"/>
      <c r="Z46" s="21">
        <v>165</v>
      </c>
      <c r="AA46" s="36" cm="1">
        <f t="array" ref="AA46">Vorlauf(Tabelle134[[#This Row],[Anbieter]])</f>
        <v>6</v>
      </c>
      <c r="AB46" s="37">
        <f>IFERROR(EDATE(Tabelle134[[#This Row],[Vertragsende]], -Tabelle134[[#This Row],[Vorlauf]]) + 1, "")</f>
        <v>45945</v>
      </c>
      <c r="AC46" s="37">
        <f>IFERROR(EDATE(Tabelle134[[#This Row],[Vertragsende]], -Tabelle134[[#This Row],[Vorlauf]] - 1) + 1, "")</f>
        <v>45915</v>
      </c>
    </row>
    <row r="47" spans="1:29" x14ac:dyDescent="0.25">
      <c r="A47" s="35">
        <f t="shared" si="2"/>
        <v>44</v>
      </c>
      <c r="B47" s="16" t="s">
        <v>194</v>
      </c>
      <c r="C47" s="16" t="s">
        <v>195</v>
      </c>
      <c r="D47" s="16" t="s">
        <v>336</v>
      </c>
      <c r="E47" s="16" t="s">
        <v>66</v>
      </c>
      <c r="F47" s="16" t="s">
        <v>337</v>
      </c>
      <c r="G47" s="18" t="s">
        <v>306</v>
      </c>
      <c r="H47" s="18"/>
      <c r="I47" s="32">
        <v>46126</v>
      </c>
      <c r="J47" s="32">
        <v>46096</v>
      </c>
      <c r="K47" s="32">
        <v>46023</v>
      </c>
      <c r="L47" s="16"/>
      <c r="M47" s="16"/>
      <c r="N47" s="18" t="s">
        <v>313</v>
      </c>
      <c r="O47" s="22" t="s">
        <v>328</v>
      </c>
      <c r="P47" s="22" t="s">
        <v>161</v>
      </c>
      <c r="Q47" s="22"/>
      <c r="R47" s="22"/>
      <c r="S47" s="22"/>
      <c r="T47" s="22"/>
      <c r="U47" s="33">
        <v>45953</v>
      </c>
      <c r="V47" s="19" t="s">
        <v>161</v>
      </c>
      <c r="W47" s="19"/>
      <c r="X47" s="20"/>
      <c r="Y47" s="19"/>
      <c r="Z47" s="21">
        <v>165</v>
      </c>
      <c r="AA47" s="36" cm="1">
        <f t="array" ref="AA47">Vorlauf(Tabelle134[[#This Row],[Anbieter]])</f>
        <v>6</v>
      </c>
      <c r="AB47" s="37">
        <f>IFERROR(EDATE(Tabelle134[[#This Row],[Vertragsende]], -Tabelle134[[#This Row],[Vorlauf]]) + 1, "")</f>
        <v>45945</v>
      </c>
      <c r="AC47" s="37">
        <f>IFERROR(EDATE(Tabelle134[[#This Row],[Vertragsende]], -Tabelle134[[#This Row],[Vorlauf]] - 1) + 1, "")</f>
        <v>45915</v>
      </c>
    </row>
    <row r="48" spans="1:29" x14ac:dyDescent="0.25">
      <c r="A48" s="35">
        <f t="shared" si="2"/>
        <v>45</v>
      </c>
      <c r="B48" s="16" t="s">
        <v>196</v>
      </c>
      <c r="C48" s="16" t="s">
        <v>197</v>
      </c>
      <c r="D48" s="16" t="s">
        <v>336</v>
      </c>
      <c r="E48" s="16" t="s">
        <v>66</v>
      </c>
      <c r="F48" s="16" t="s">
        <v>337</v>
      </c>
      <c r="G48" s="18" t="s">
        <v>306</v>
      </c>
      <c r="H48" s="18"/>
      <c r="I48" s="32">
        <v>46126</v>
      </c>
      <c r="J48" s="32">
        <v>46096</v>
      </c>
      <c r="K48" s="32">
        <v>46023</v>
      </c>
      <c r="L48" s="16"/>
      <c r="M48" s="16"/>
      <c r="N48" s="18" t="s">
        <v>313</v>
      </c>
      <c r="O48" s="22" t="s">
        <v>328</v>
      </c>
      <c r="P48" s="22" t="s">
        <v>161</v>
      </c>
      <c r="Q48" s="22"/>
      <c r="R48" s="22"/>
      <c r="S48" s="22"/>
      <c r="T48" s="22"/>
      <c r="U48" s="33">
        <v>45953</v>
      </c>
      <c r="V48" s="19" t="s">
        <v>161</v>
      </c>
      <c r="W48" s="19"/>
      <c r="X48" s="20"/>
      <c r="Y48" s="19"/>
      <c r="Z48" s="21">
        <v>165</v>
      </c>
      <c r="AA48" s="36" cm="1">
        <f t="array" ref="AA48">Vorlauf(Tabelle134[[#This Row],[Anbieter]])</f>
        <v>6</v>
      </c>
      <c r="AB48" s="37">
        <f>IFERROR(EDATE(Tabelle134[[#This Row],[Vertragsende]], -Tabelle134[[#This Row],[Vorlauf]]) + 1, "")</f>
        <v>45945</v>
      </c>
      <c r="AC48" s="37">
        <f>IFERROR(EDATE(Tabelle134[[#This Row],[Vertragsende]], -Tabelle134[[#This Row],[Vorlauf]] - 1) + 1, "")</f>
        <v>45915</v>
      </c>
    </row>
    <row r="49" spans="1:29" x14ac:dyDescent="0.25">
      <c r="A49" s="35">
        <f t="shared" si="2"/>
        <v>46</v>
      </c>
      <c r="B49" s="16" t="s">
        <v>198</v>
      </c>
      <c r="C49" s="16" t="s">
        <v>332</v>
      </c>
      <c r="D49" s="16" t="s">
        <v>336</v>
      </c>
      <c r="E49" s="16" t="s">
        <v>66</v>
      </c>
      <c r="F49" s="16" t="s">
        <v>337</v>
      </c>
      <c r="G49" s="18" t="s">
        <v>306</v>
      </c>
      <c r="H49" s="18"/>
      <c r="I49" s="32">
        <v>46126</v>
      </c>
      <c r="J49" s="32">
        <v>46096</v>
      </c>
      <c r="K49" s="32">
        <v>46023</v>
      </c>
      <c r="L49" s="16"/>
      <c r="M49" s="16"/>
      <c r="N49" s="18" t="s">
        <v>313</v>
      </c>
      <c r="O49" s="22" t="s">
        <v>328</v>
      </c>
      <c r="P49" s="22" t="s">
        <v>161</v>
      </c>
      <c r="Q49" s="22"/>
      <c r="R49" s="22"/>
      <c r="S49" s="22"/>
      <c r="T49" s="22"/>
      <c r="U49" s="33">
        <v>45953</v>
      </c>
      <c r="V49" s="19" t="s">
        <v>161</v>
      </c>
      <c r="W49" s="19"/>
      <c r="X49" s="20"/>
      <c r="Y49" s="19"/>
      <c r="Z49" s="21">
        <v>165</v>
      </c>
      <c r="AA49" s="36" cm="1">
        <f t="array" ref="AA49">Vorlauf(Tabelle134[[#This Row],[Anbieter]])</f>
        <v>6</v>
      </c>
      <c r="AB49" s="37">
        <f>IFERROR(EDATE(Tabelle134[[#This Row],[Vertragsende]], -Tabelle134[[#This Row],[Vorlauf]]) + 1, "")</f>
        <v>45945</v>
      </c>
      <c r="AC49" s="37">
        <f>IFERROR(EDATE(Tabelle134[[#This Row],[Vertragsende]], -Tabelle134[[#This Row],[Vorlauf]] - 1) + 1, "")</f>
        <v>45915</v>
      </c>
    </row>
    <row r="50" spans="1:29" x14ac:dyDescent="0.25">
      <c r="A50" s="35">
        <f t="shared" si="2"/>
        <v>47</v>
      </c>
      <c r="B50" s="16" t="s">
        <v>200</v>
      </c>
      <c r="C50" s="16" t="s">
        <v>333</v>
      </c>
      <c r="D50" s="16" t="s">
        <v>336</v>
      </c>
      <c r="E50" s="16" t="s">
        <v>66</v>
      </c>
      <c r="F50" s="16" t="s">
        <v>337</v>
      </c>
      <c r="G50" s="18" t="s">
        <v>306</v>
      </c>
      <c r="H50" s="18"/>
      <c r="I50" s="32">
        <v>46126</v>
      </c>
      <c r="J50" s="32">
        <v>46096</v>
      </c>
      <c r="K50" s="32">
        <v>46023</v>
      </c>
      <c r="L50" s="16"/>
      <c r="M50" s="16"/>
      <c r="N50" s="18" t="s">
        <v>313</v>
      </c>
      <c r="O50" s="22" t="s">
        <v>328</v>
      </c>
      <c r="P50" s="22" t="s">
        <v>161</v>
      </c>
      <c r="Q50" s="22"/>
      <c r="R50" s="22"/>
      <c r="S50" s="22"/>
      <c r="T50" s="22"/>
      <c r="U50" s="33">
        <v>45953</v>
      </c>
      <c r="V50" s="19" t="s">
        <v>161</v>
      </c>
      <c r="W50" s="19"/>
      <c r="X50" s="20"/>
      <c r="Y50" s="19"/>
      <c r="Z50" s="21">
        <v>165</v>
      </c>
      <c r="AA50" s="36" cm="1">
        <f t="array" ref="AA50">Vorlauf(Tabelle134[[#This Row],[Anbieter]])</f>
        <v>6</v>
      </c>
      <c r="AB50" s="37">
        <f>IFERROR(EDATE(Tabelle134[[#This Row],[Vertragsende]], -Tabelle134[[#This Row],[Vorlauf]]) + 1, "")</f>
        <v>45945</v>
      </c>
      <c r="AC50" s="37">
        <f>IFERROR(EDATE(Tabelle134[[#This Row],[Vertragsende]], -Tabelle134[[#This Row],[Vorlauf]] - 1) + 1, "")</f>
        <v>45915</v>
      </c>
    </row>
    <row r="51" spans="1:29" x14ac:dyDescent="0.25">
      <c r="A51" s="35">
        <f t="shared" si="2"/>
        <v>48</v>
      </c>
      <c r="B51" s="16" t="s">
        <v>202</v>
      </c>
      <c r="C51" s="16" t="s">
        <v>203</v>
      </c>
      <c r="D51" s="16" t="s">
        <v>336</v>
      </c>
      <c r="E51" s="16" t="s">
        <v>66</v>
      </c>
      <c r="F51" s="16" t="s">
        <v>337</v>
      </c>
      <c r="G51" s="18" t="s">
        <v>306</v>
      </c>
      <c r="H51" s="18"/>
      <c r="I51" s="32">
        <v>46126</v>
      </c>
      <c r="J51" s="32">
        <v>46096</v>
      </c>
      <c r="K51" s="32">
        <v>46023</v>
      </c>
      <c r="L51" s="16"/>
      <c r="M51" s="16"/>
      <c r="N51" s="18" t="s">
        <v>313</v>
      </c>
      <c r="O51" s="22" t="s">
        <v>328</v>
      </c>
      <c r="P51" s="22" t="s">
        <v>161</v>
      </c>
      <c r="Q51" s="22"/>
      <c r="R51" s="22"/>
      <c r="S51" s="22"/>
      <c r="T51" s="22"/>
      <c r="U51" s="33">
        <v>45953</v>
      </c>
      <c r="V51" s="19" t="s">
        <v>161</v>
      </c>
      <c r="W51" s="19"/>
      <c r="X51" s="20"/>
      <c r="Y51" s="19"/>
      <c r="Z51" s="21">
        <v>165</v>
      </c>
      <c r="AA51" s="36" cm="1">
        <f t="array" ref="AA51">Vorlauf(Tabelle134[[#This Row],[Anbieter]])</f>
        <v>6</v>
      </c>
      <c r="AB51" s="37">
        <f>IFERROR(EDATE(Tabelle134[[#This Row],[Vertragsende]], -Tabelle134[[#This Row],[Vorlauf]]) + 1, "")</f>
        <v>45945</v>
      </c>
      <c r="AC51" s="37">
        <f>IFERROR(EDATE(Tabelle134[[#This Row],[Vertragsende]], -Tabelle134[[#This Row],[Vorlauf]] - 1) + 1, "")</f>
        <v>45915</v>
      </c>
    </row>
    <row r="52" spans="1:29" x14ac:dyDescent="0.25">
      <c r="A52" s="35">
        <f t="shared" si="2"/>
        <v>49</v>
      </c>
      <c r="B52" s="16" t="s">
        <v>204</v>
      </c>
      <c r="C52" s="16" t="s">
        <v>205</v>
      </c>
      <c r="D52" s="16" t="s">
        <v>336</v>
      </c>
      <c r="E52" s="16" t="s">
        <v>66</v>
      </c>
      <c r="F52" s="16" t="s">
        <v>337</v>
      </c>
      <c r="G52" s="18" t="s">
        <v>306</v>
      </c>
      <c r="H52" s="18" t="s">
        <v>306</v>
      </c>
      <c r="I52" s="32">
        <v>46145</v>
      </c>
      <c r="J52" s="32">
        <v>46116</v>
      </c>
      <c r="K52" s="32">
        <v>46054</v>
      </c>
      <c r="L52" s="16"/>
      <c r="M52" s="16"/>
      <c r="N52" s="18" t="s">
        <v>313</v>
      </c>
      <c r="O52" s="22" t="s">
        <v>328</v>
      </c>
      <c r="P52" s="22" t="s">
        <v>265</v>
      </c>
      <c r="Q52" s="22"/>
      <c r="R52" s="22"/>
      <c r="S52" s="22"/>
      <c r="T52" s="22"/>
      <c r="U52" s="33"/>
      <c r="V52" s="19"/>
      <c r="W52" s="19"/>
      <c r="X52" s="20"/>
      <c r="Y52" s="19"/>
      <c r="Z52" s="21"/>
      <c r="AA52" s="36" cm="1">
        <f t="array" ref="AA52">Vorlauf(Tabelle134[[#This Row],[Anbieter]])</f>
        <v>6</v>
      </c>
      <c r="AB52" s="37">
        <f>IFERROR(EDATE(Tabelle134[[#This Row],[Vertragsende]], -Tabelle134[[#This Row],[Vorlauf]]) + 1, "")</f>
        <v>45965</v>
      </c>
      <c r="AC52" s="37">
        <f>IFERROR(EDATE(Tabelle134[[#This Row],[Vertragsende]], -Tabelle134[[#This Row],[Vorlauf]] - 1) + 1, "")</f>
        <v>45934</v>
      </c>
    </row>
    <row r="53" spans="1:29" x14ac:dyDescent="0.25">
      <c r="A53" s="35">
        <f t="shared" si="2"/>
        <v>50</v>
      </c>
      <c r="B53" s="16" t="s">
        <v>206</v>
      </c>
      <c r="C53" s="16" t="s">
        <v>364</v>
      </c>
      <c r="D53" s="16" t="s">
        <v>336</v>
      </c>
      <c r="E53" s="16" t="s">
        <v>66</v>
      </c>
      <c r="F53" s="16" t="s">
        <v>337</v>
      </c>
      <c r="G53" s="18" t="s">
        <v>306</v>
      </c>
      <c r="H53" s="18" t="s">
        <v>306</v>
      </c>
      <c r="I53" s="32">
        <v>46145</v>
      </c>
      <c r="J53" s="32">
        <v>46116</v>
      </c>
      <c r="K53" s="32">
        <v>46054</v>
      </c>
      <c r="L53" s="16"/>
      <c r="M53" s="16"/>
      <c r="N53" s="18" t="s">
        <v>313</v>
      </c>
      <c r="O53" s="22" t="s">
        <v>328</v>
      </c>
      <c r="P53" s="22" t="s">
        <v>265</v>
      </c>
      <c r="Q53" s="22"/>
      <c r="R53" s="22"/>
      <c r="S53" s="22"/>
      <c r="T53" s="22"/>
      <c r="U53" s="33"/>
      <c r="V53" s="19"/>
      <c r="W53" s="19"/>
      <c r="X53" s="20"/>
      <c r="Y53" s="19"/>
      <c r="Z53" s="21"/>
      <c r="AA53" s="36" cm="1">
        <f t="array" ref="AA53">Vorlauf(Tabelle134[[#This Row],[Anbieter]])</f>
        <v>6</v>
      </c>
      <c r="AB53" s="37">
        <f>IFERROR(EDATE(Tabelle134[[#This Row],[Vertragsende]], -Tabelle134[[#This Row],[Vorlauf]]) + 1, "")</f>
        <v>45965</v>
      </c>
      <c r="AC53" s="37">
        <f>IFERROR(EDATE(Tabelle134[[#This Row],[Vertragsende]], -Tabelle134[[#This Row],[Vorlauf]] - 1) + 1, "")</f>
        <v>45934</v>
      </c>
    </row>
    <row r="54" spans="1:29" x14ac:dyDescent="0.25">
      <c r="A54" s="35">
        <f t="shared" si="2"/>
        <v>51</v>
      </c>
      <c r="B54" s="16" t="s">
        <v>208</v>
      </c>
      <c r="C54" s="16" t="s">
        <v>209</v>
      </c>
      <c r="D54" s="16" t="s">
        <v>336</v>
      </c>
      <c r="E54" s="16" t="s">
        <v>66</v>
      </c>
      <c r="F54" s="16" t="s">
        <v>337</v>
      </c>
      <c r="G54" s="18" t="s">
        <v>306</v>
      </c>
      <c r="H54" s="18" t="s">
        <v>306</v>
      </c>
      <c r="I54" s="32">
        <v>46145</v>
      </c>
      <c r="J54" s="32">
        <v>46116</v>
      </c>
      <c r="K54" s="32">
        <v>46054</v>
      </c>
      <c r="L54" s="16"/>
      <c r="M54" s="16"/>
      <c r="N54" s="18" t="s">
        <v>313</v>
      </c>
      <c r="O54" s="22" t="s">
        <v>328</v>
      </c>
      <c r="P54" s="22" t="s">
        <v>265</v>
      </c>
      <c r="Q54" s="22"/>
      <c r="R54" s="22"/>
      <c r="S54" s="22"/>
      <c r="T54" s="22"/>
      <c r="U54" s="33"/>
      <c r="V54" s="19"/>
      <c r="W54" s="19"/>
      <c r="X54" s="20"/>
      <c r="Y54" s="19"/>
      <c r="Z54" s="21"/>
      <c r="AA54" s="36" cm="1">
        <f t="array" ref="AA54">Vorlauf(Tabelle134[[#This Row],[Anbieter]])</f>
        <v>6</v>
      </c>
      <c r="AB54" s="37">
        <f>IFERROR(EDATE(Tabelle134[[#This Row],[Vertragsende]], -Tabelle134[[#This Row],[Vorlauf]]) + 1, "")</f>
        <v>45965</v>
      </c>
      <c r="AC54" s="37">
        <f>IFERROR(EDATE(Tabelle134[[#This Row],[Vertragsende]], -Tabelle134[[#This Row],[Vorlauf]] - 1) + 1, "")</f>
        <v>45934</v>
      </c>
    </row>
    <row r="55" spans="1:29" x14ac:dyDescent="0.25">
      <c r="A55" s="35">
        <f t="shared" si="2"/>
        <v>52</v>
      </c>
      <c r="B55" s="16" t="s">
        <v>210</v>
      </c>
      <c r="C55" s="16" t="s">
        <v>211</v>
      </c>
      <c r="D55" s="16" t="s">
        <v>336</v>
      </c>
      <c r="E55" s="16" t="s">
        <v>66</v>
      </c>
      <c r="F55" s="16" t="s">
        <v>337</v>
      </c>
      <c r="G55" s="18" t="s">
        <v>306</v>
      </c>
      <c r="H55" s="18" t="s">
        <v>306</v>
      </c>
      <c r="I55" s="32">
        <v>46145</v>
      </c>
      <c r="J55" s="32">
        <v>46116</v>
      </c>
      <c r="K55" s="32">
        <v>46054</v>
      </c>
      <c r="L55" s="16"/>
      <c r="M55" s="16"/>
      <c r="N55" s="18" t="s">
        <v>313</v>
      </c>
      <c r="O55" s="22" t="s">
        <v>328</v>
      </c>
      <c r="P55" s="22" t="s">
        <v>265</v>
      </c>
      <c r="Q55" s="22"/>
      <c r="R55" s="22"/>
      <c r="S55" s="22"/>
      <c r="T55" s="22"/>
      <c r="U55" s="33"/>
      <c r="V55" s="19"/>
      <c r="W55" s="19"/>
      <c r="X55" s="20"/>
      <c r="Y55" s="19"/>
      <c r="Z55" s="21"/>
      <c r="AA55" s="36" cm="1">
        <f t="array" ref="AA55">Vorlauf(Tabelle134[[#This Row],[Anbieter]])</f>
        <v>6</v>
      </c>
      <c r="AB55" s="37">
        <f>IFERROR(EDATE(Tabelle134[[#This Row],[Vertragsende]], -Tabelle134[[#This Row],[Vorlauf]]) + 1, "")</f>
        <v>45965</v>
      </c>
      <c r="AC55" s="37">
        <f>IFERROR(EDATE(Tabelle134[[#This Row],[Vertragsende]], -Tabelle134[[#This Row],[Vorlauf]] - 1) + 1, "")</f>
        <v>45934</v>
      </c>
    </row>
    <row r="56" spans="1:29" x14ac:dyDescent="0.25">
      <c r="A56" s="35">
        <f t="shared" si="2"/>
        <v>53</v>
      </c>
      <c r="B56" s="16" t="s">
        <v>212</v>
      </c>
      <c r="C56" s="16" t="s">
        <v>213</v>
      </c>
      <c r="D56" s="16" t="s">
        <v>336</v>
      </c>
      <c r="E56" s="16" t="s">
        <v>66</v>
      </c>
      <c r="F56" s="16" t="s">
        <v>337</v>
      </c>
      <c r="G56" s="18" t="s">
        <v>306</v>
      </c>
      <c r="H56" s="18" t="s">
        <v>306</v>
      </c>
      <c r="I56" s="32">
        <v>46145</v>
      </c>
      <c r="J56" s="32">
        <v>46116</v>
      </c>
      <c r="K56" s="32">
        <v>46054</v>
      </c>
      <c r="L56" s="16"/>
      <c r="M56" s="16"/>
      <c r="N56" s="18" t="s">
        <v>313</v>
      </c>
      <c r="O56" s="22" t="s">
        <v>328</v>
      </c>
      <c r="P56" s="22" t="s">
        <v>265</v>
      </c>
      <c r="Q56" s="22"/>
      <c r="R56" s="22"/>
      <c r="S56" s="22"/>
      <c r="T56" s="22"/>
      <c r="U56" s="33"/>
      <c r="V56" s="19"/>
      <c r="W56" s="19"/>
      <c r="X56" s="20"/>
      <c r="Y56" s="19"/>
      <c r="Z56" s="21"/>
      <c r="AA56" s="36" cm="1">
        <f t="array" ref="AA56">Vorlauf(Tabelle134[[#This Row],[Anbieter]])</f>
        <v>6</v>
      </c>
      <c r="AB56" s="37">
        <f>IFERROR(EDATE(Tabelle134[[#This Row],[Vertragsende]], -Tabelle134[[#This Row],[Vorlauf]]) + 1, "")</f>
        <v>45965</v>
      </c>
      <c r="AC56" s="37">
        <f>IFERROR(EDATE(Tabelle134[[#This Row],[Vertragsende]], -Tabelle134[[#This Row],[Vorlauf]] - 1) + 1, "")</f>
        <v>45934</v>
      </c>
    </row>
    <row r="57" spans="1:29" x14ac:dyDescent="0.25">
      <c r="A57" s="35">
        <f t="shared" si="2"/>
        <v>54</v>
      </c>
      <c r="B57" s="16" t="s">
        <v>214</v>
      </c>
      <c r="C57" s="16" t="s">
        <v>215</v>
      </c>
      <c r="D57" s="16" t="s">
        <v>336</v>
      </c>
      <c r="E57" s="16" t="s">
        <v>66</v>
      </c>
      <c r="F57" s="16" t="s">
        <v>337</v>
      </c>
      <c r="G57" s="18" t="s">
        <v>306</v>
      </c>
      <c r="H57" s="18" t="s">
        <v>306</v>
      </c>
      <c r="I57" s="32">
        <v>46145</v>
      </c>
      <c r="J57" s="32">
        <v>46116</v>
      </c>
      <c r="K57" s="32">
        <v>46054</v>
      </c>
      <c r="L57" s="16"/>
      <c r="M57" s="16"/>
      <c r="N57" s="18" t="s">
        <v>313</v>
      </c>
      <c r="O57" s="22" t="s">
        <v>328</v>
      </c>
      <c r="P57" s="22" t="s">
        <v>265</v>
      </c>
      <c r="Q57" s="22"/>
      <c r="R57" s="22"/>
      <c r="S57" s="22"/>
      <c r="T57" s="22"/>
      <c r="U57" s="33"/>
      <c r="V57" s="19"/>
      <c r="W57" s="19"/>
      <c r="X57" s="20"/>
      <c r="Y57" s="19"/>
      <c r="Z57" s="21"/>
      <c r="AA57" s="36" cm="1">
        <f t="array" ref="AA57">Vorlauf(Tabelle134[[#This Row],[Anbieter]])</f>
        <v>6</v>
      </c>
      <c r="AB57" s="37">
        <f>IFERROR(EDATE(Tabelle134[[#This Row],[Vertragsende]], -Tabelle134[[#This Row],[Vorlauf]]) + 1, "")</f>
        <v>45965</v>
      </c>
      <c r="AC57" s="37">
        <f>IFERROR(EDATE(Tabelle134[[#This Row],[Vertragsende]], -Tabelle134[[#This Row],[Vorlauf]] - 1) + 1, "")</f>
        <v>45934</v>
      </c>
    </row>
    <row r="58" spans="1:29" x14ac:dyDescent="0.25">
      <c r="A58" s="35">
        <f t="shared" si="2"/>
        <v>55</v>
      </c>
      <c r="B58" s="16" t="s">
        <v>216</v>
      </c>
      <c r="C58" s="16" t="s">
        <v>217</v>
      </c>
      <c r="D58" s="16" t="s">
        <v>336</v>
      </c>
      <c r="E58" s="16" t="s">
        <v>66</v>
      </c>
      <c r="F58" s="16" t="s">
        <v>337</v>
      </c>
      <c r="G58" s="18" t="s">
        <v>306</v>
      </c>
      <c r="H58" s="18" t="s">
        <v>306</v>
      </c>
      <c r="I58" s="32">
        <v>46145</v>
      </c>
      <c r="J58" s="32">
        <v>46116</v>
      </c>
      <c r="K58" s="32">
        <v>46054</v>
      </c>
      <c r="L58" s="16"/>
      <c r="M58" s="16"/>
      <c r="N58" s="18" t="s">
        <v>313</v>
      </c>
      <c r="O58" s="22" t="s">
        <v>328</v>
      </c>
      <c r="P58" s="22" t="s">
        <v>265</v>
      </c>
      <c r="Q58" s="22" t="s">
        <v>334</v>
      </c>
      <c r="R58" s="22"/>
      <c r="S58" s="22"/>
      <c r="T58" s="22"/>
      <c r="U58" s="33"/>
      <c r="V58" s="19"/>
      <c r="W58" s="19"/>
      <c r="X58" s="20"/>
      <c r="Y58" s="19"/>
      <c r="Z58" s="21"/>
      <c r="AA58" s="36" cm="1">
        <f t="array" ref="AA58">Vorlauf(Tabelle134[[#This Row],[Anbieter]])</f>
        <v>6</v>
      </c>
      <c r="AB58" s="37">
        <f>IFERROR(EDATE(Tabelle134[[#This Row],[Vertragsende]], -Tabelle134[[#This Row],[Vorlauf]]) + 1, "")</f>
        <v>45965</v>
      </c>
      <c r="AC58" s="37">
        <f>IFERROR(EDATE(Tabelle134[[#This Row],[Vertragsende]], -Tabelle134[[#This Row],[Vorlauf]] - 1) + 1, "")</f>
        <v>45934</v>
      </c>
    </row>
    <row r="59" spans="1:29" x14ac:dyDescent="0.25">
      <c r="A59" s="35">
        <f t="shared" si="2"/>
        <v>56</v>
      </c>
      <c r="B59" s="16" t="s">
        <v>218</v>
      </c>
      <c r="C59" s="16" t="s">
        <v>219</v>
      </c>
      <c r="D59" s="16" t="s">
        <v>336</v>
      </c>
      <c r="E59" s="16" t="s">
        <v>66</v>
      </c>
      <c r="F59" s="16" t="s">
        <v>337</v>
      </c>
      <c r="G59" s="18" t="s">
        <v>306</v>
      </c>
      <c r="H59" s="18" t="s">
        <v>306</v>
      </c>
      <c r="I59" s="32">
        <v>46145</v>
      </c>
      <c r="J59" s="32">
        <v>46116</v>
      </c>
      <c r="K59" s="32">
        <v>46054</v>
      </c>
      <c r="L59" s="16"/>
      <c r="M59" s="16"/>
      <c r="N59" s="18" t="s">
        <v>313</v>
      </c>
      <c r="O59" s="22" t="s">
        <v>328</v>
      </c>
      <c r="P59" s="22" t="s">
        <v>78</v>
      </c>
      <c r="Q59" s="22"/>
      <c r="R59" s="22"/>
      <c r="S59" s="22"/>
      <c r="T59" s="22"/>
      <c r="U59" s="33"/>
      <c r="V59" s="19"/>
      <c r="W59" s="19"/>
      <c r="X59" s="20"/>
      <c r="Y59" s="19"/>
      <c r="Z59" s="21"/>
      <c r="AA59" s="36" cm="1">
        <f t="array" ref="AA59">Vorlauf(Tabelle134[[#This Row],[Anbieter]])</f>
        <v>6</v>
      </c>
      <c r="AB59" s="37">
        <f>IFERROR(EDATE(Tabelle134[[#This Row],[Vertragsende]], -Tabelle134[[#This Row],[Vorlauf]]) + 1, "")</f>
        <v>45965</v>
      </c>
      <c r="AC59" s="37">
        <f>IFERROR(EDATE(Tabelle134[[#This Row],[Vertragsende]], -Tabelle134[[#This Row],[Vorlauf]] - 1) + 1, "")</f>
        <v>45934</v>
      </c>
    </row>
    <row r="60" spans="1:29" x14ac:dyDescent="0.25">
      <c r="A60" s="35">
        <f t="shared" si="2"/>
        <v>57</v>
      </c>
      <c r="B60" s="16" t="s">
        <v>220</v>
      </c>
      <c r="C60" s="16" t="s">
        <v>365</v>
      </c>
      <c r="D60" s="16" t="s">
        <v>336</v>
      </c>
      <c r="E60" s="16" t="s">
        <v>66</v>
      </c>
      <c r="F60" s="16" t="s">
        <v>337</v>
      </c>
      <c r="G60" s="18" t="s">
        <v>306</v>
      </c>
      <c r="H60" s="18" t="s">
        <v>306</v>
      </c>
      <c r="I60" s="32">
        <v>46145</v>
      </c>
      <c r="J60" s="32">
        <v>46116</v>
      </c>
      <c r="K60" s="32">
        <v>46054</v>
      </c>
      <c r="L60" s="16"/>
      <c r="M60" s="16"/>
      <c r="N60" s="18" t="s">
        <v>313</v>
      </c>
      <c r="O60" s="22" t="s">
        <v>328</v>
      </c>
      <c r="P60" s="22" t="s">
        <v>265</v>
      </c>
      <c r="Q60" s="22"/>
      <c r="R60" s="22"/>
      <c r="S60" s="22"/>
      <c r="T60" s="22"/>
      <c r="U60" s="33"/>
      <c r="V60" s="19"/>
      <c r="W60" s="19"/>
      <c r="X60" s="20"/>
      <c r="Y60" s="19"/>
      <c r="Z60" s="21"/>
      <c r="AA60" s="36" cm="1">
        <f t="array" ref="AA60">Vorlauf(Tabelle134[[#This Row],[Anbieter]])</f>
        <v>6</v>
      </c>
      <c r="AB60" s="37">
        <f>IFERROR(EDATE(Tabelle134[[#This Row],[Vertragsende]], -Tabelle134[[#This Row],[Vorlauf]]) + 1, "")</f>
        <v>45965</v>
      </c>
      <c r="AC60" s="37">
        <f>IFERROR(EDATE(Tabelle134[[#This Row],[Vertragsende]], -Tabelle134[[#This Row],[Vorlauf]] - 1) + 1, "")</f>
        <v>45934</v>
      </c>
    </row>
    <row r="61" spans="1:29" x14ac:dyDescent="0.25">
      <c r="A61" s="35">
        <f t="shared" si="2"/>
        <v>58</v>
      </c>
      <c r="B61" s="16" t="s">
        <v>222</v>
      </c>
      <c r="C61" s="16" t="s">
        <v>223</v>
      </c>
      <c r="D61" s="16" t="s">
        <v>336</v>
      </c>
      <c r="E61" s="16" t="s">
        <v>66</v>
      </c>
      <c r="F61" s="16" t="s">
        <v>337</v>
      </c>
      <c r="G61" s="18" t="s">
        <v>306</v>
      </c>
      <c r="H61" s="18" t="s">
        <v>306</v>
      </c>
      <c r="I61" s="32">
        <v>46145</v>
      </c>
      <c r="J61" s="32">
        <v>46116</v>
      </c>
      <c r="K61" s="32">
        <v>46054</v>
      </c>
      <c r="L61" s="16"/>
      <c r="M61" s="16"/>
      <c r="N61" s="18" t="s">
        <v>313</v>
      </c>
      <c r="O61" s="22" t="s">
        <v>328</v>
      </c>
      <c r="P61" s="22" t="s">
        <v>265</v>
      </c>
      <c r="Q61" s="22"/>
      <c r="R61" s="22"/>
      <c r="S61" s="22"/>
      <c r="T61" s="22"/>
      <c r="U61" s="33"/>
      <c r="V61" s="19"/>
      <c r="W61" s="19"/>
      <c r="X61" s="20"/>
      <c r="Y61" s="19"/>
      <c r="Z61" s="21"/>
      <c r="AA61" s="36" cm="1">
        <f t="array" ref="AA61">Vorlauf(Tabelle134[[#This Row],[Anbieter]])</f>
        <v>6</v>
      </c>
      <c r="AB61" s="37">
        <f>IFERROR(EDATE(Tabelle134[[#This Row],[Vertragsende]], -Tabelle134[[#This Row],[Vorlauf]]) + 1, "")</f>
        <v>45965</v>
      </c>
      <c r="AC61" s="37">
        <f>IFERROR(EDATE(Tabelle134[[#This Row],[Vertragsende]], -Tabelle134[[#This Row],[Vorlauf]] - 1) + 1, "")</f>
        <v>45934</v>
      </c>
    </row>
    <row r="62" spans="1:29" x14ac:dyDescent="0.25">
      <c r="A62" s="35">
        <f t="shared" si="2"/>
        <v>59</v>
      </c>
      <c r="B62" s="16" t="s">
        <v>80</v>
      </c>
      <c r="C62" s="16" t="s">
        <v>366</v>
      </c>
      <c r="D62" s="16" t="s">
        <v>336</v>
      </c>
      <c r="E62" s="16" t="s">
        <v>66</v>
      </c>
      <c r="F62" s="16" t="s">
        <v>337</v>
      </c>
      <c r="G62" s="18" t="s">
        <v>306</v>
      </c>
      <c r="H62" s="18" t="s">
        <v>306</v>
      </c>
      <c r="I62" s="32">
        <v>46160</v>
      </c>
      <c r="J62" s="32">
        <v>46131</v>
      </c>
      <c r="K62" s="32">
        <v>46054</v>
      </c>
      <c r="L62" s="16"/>
      <c r="M62" s="16"/>
      <c r="N62" s="18" t="s">
        <v>313</v>
      </c>
      <c r="O62" s="22" t="s">
        <v>328</v>
      </c>
      <c r="P62" s="22" t="s">
        <v>265</v>
      </c>
      <c r="Q62" s="22"/>
      <c r="R62" s="22"/>
      <c r="S62" s="22"/>
      <c r="T62" s="22"/>
      <c r="U62" s="33"/>
      <c r="V62" s="19"/>
      <c r="W62" s="19"/>
      <c r="X62" s="20"/>
      <c r="Y62" s="19"/>
      <c r="Z62" s="21"/>
      <c r="AA62" s="36" cm="1">
        <f t="array" ref="AA62">Vorlauf(Tabelle134[[#This Row],[Anbieter]])</f>
        <v>6</v>
      </c>
      <c r="AB62" s="37">
        <f>IFERROR(EDATE(Tabelle134[[#This Row],[Vertragsende]], -Tabelle134[[#This Row],[Vorlauf]]) + 1, "")</f>
        <v>45980</v>
      </c>
      <c r="AC62" s="37">
        <f>IFERROR(EDATE(Tabelle134[[#This Row],[Vertragsende]], -Tabelle134[[#This Row],[Vorlauf]] - 1) + 1, "")</f>
        <v>45949</v>
      </c>
    </row>
    <row r="63" spans="1:29" x14ac:dyDescent="0.25">
      <c r="A63" s="35">
        <f t="shared" si="2"/>
        <v>60</v>
      </c>
      <c r="B63" s="16" t="s">
        <v>84</v>
      </c>
      <c r="C63" s="16" t="s">
        <v>85</v>
      </c>
      <c r="D63" s="16" t="s">
        <v>336</v>
      </c>
      <c r="E63" s="16" t="s">
        <v>66</v>
      </c>
      <c r="F63" s="16" t="s">
        <v>337</v>
      </c>
      <c r="G63" s="18" t="s">
        <v>306</v>
      </c>
      <c r="H63" s="18" t="s">
        <v>306</v>
      </c>
      <c r="I63" s="32">
        <v>46160</v>
      </c>
      <c r="J63" s="32">
        <v>46131</v>
      </c>
      <c r="K63" s="32">
        <v>46054</v>
      </c>
      <c r="L63" s="16"/>
      <c r="M63" s="16"/>
      <c r="N63" s="18" t="s">
        <v>313</v>
      </c>
      <c r="O63" s="22" t="s">
        <v>328</v>
      </c>
      <c r="P63" s="22" t="s">
        <v>265</v>
      </c>
      <c r="Q63" s="22"/>
      <c r="R63" s="22"/>
      <c r="S63" s="22"/>
      <c r="T63" s="22"/>
      <c r="U63" s="33"/>
      <c r="V63" s="19"/>
      <c r="W63" s="19"/>
      <c r="X63" s="20"/>
      <c r="Y63" s="19"/>
      <c r="Z63" s="21"/>
      <c r="AA63" s="36" cm="1">
        <f t="array" ref="AA63">Vorlauf(Tabelle134[[#This Row],[Anbieter]])</f>
        <v>6</v>
      </c>
      <c r="AB63" s="37">
        <f>IFERROR(EDATE(Tabelle134[[#This Row],[Vertragsende]], -Tabelle134[[#This Row],[Vorlauf]]) + 1, "")</f>
        <v>45980</v>
      </c>
      <c r="AC63" s="37">
        <f>IFERROR(EDATE(Tabelle134[[#This Row],[Vertragsende]], -Tabelle134[[#This Row],[Vorlauf]] - 1) + 1, "")</f>
        <v>45949</v>
      </c>
    </row>
    <row r="64" spans="1:29" x14ac:dyDescent="0.25">
      <c r="A64" s="35">
        <f t="shared" si="2"/>
        <v>61</v>
      </c>
      <c r="B64" s="16" t="s">
        <v>350</v>
      </c>
      <c r="C64" s="16" t="s">
        <v>351</v>
      </c>
      <c r="D64" s="16" t="s">
        <v>336</v>
      </c>
      <c r="E64" s="16" t="s">
        <v>66</v>
      </c>
      <c r="F64" s="16" t="s">
        <v>337</v>
      </c>
      <c r="G64" s="18" t="s">
        <v>306</v>
      </c>
      <c r="H64" s="18"/>
      <c r="I64" s="32">
        <v>46171</v>
      </c>
      <c r="J64" s="32">
        <v>46142</v>
      </c>
      <c r="K64" s="32">
        <v>46054</v>
      </c>
      <c r="L64" s="16"/>
      <c r="M64" s="16"/>
      <c r="N64" s="18" t="s">
        <v>313</v>
      </c>
      <c r="O64" s="22" t="s">
        <v>328</v>
      </c>
      <c r="P64" s="22" t="s">
        <v>338</v>
      </c>
      <c r="Q64" s="22" t="s">
        <v>334</v>
      </c>
      <c r="R64" s="22"/>
      <c r="S64" s="22"/>
      <c r="T64" s="22"/>
      <c r="U64" s="33"/>
      <c r="V64" s="19"/>
      <c r="W64" s="19"/>
      <c r="X64" s="20"/>
      <c r="Y64" s="19"/>
      <c r="Z64" s="21"/>
      <c r="AA64" s="36" cm="1">
        <f t="array" ref="AA64">Vorlauf(Tabelle134[[#This Row],[Anbieter]])</f>
        <v>6</v>
      </c>
      <c r="AB64" s="37">
        <f>IFERROR(EDATE(Tabelle134[[#This Row],[Vertragsende]], -Tabelle134[[#This Row],[Vorlauf]]) + 1, "")</f>
        <v>45991</v>
      </c>
      <c r="AC64" s="37">
        <f>IFERROR(EDATE(Tabelle134[[#This Row],[Vertragsende]], -Tabelle134[[#This Row],[Vorlauf]] - 1) + 1, "")</f>
        <v>45960</v>
      </c>
    </row>
    <row r="65" spans="1:29" x14ac:dyDescent="0.25">
      <c r="A65" s="35">
        <f t="shared" si="2"/>
        <v>62</v>
      </c>
      <c r="B65" s="16" t="s">
        <v>86</v>
      </c>
      <c r="C65" s="16" t="s">
        <v>87</v>
      </c>
      <c r="D65" s="16" t="s">
        <v>336</v>
      </c>
      <c r="E65" s="16" t="s">
        <v>66</v>
      </c>
      <c r="F65" s="16" t="s">
        <v>337</v>
      </c>
      <c r="G65" s="18" t="s">
        <v>306</v>
      </c>
      <c r="H65" s="18" t="s">
        <v>306</v>
      </c>
      <c r="I65" s="32">
        <v>46185</v>
      </c>
      <c r="J65" s="32">
        <v>46155</v>
      </c>
      <c r="K65" s="32">
        <v>46082</v>
      </c>
      <c r="L65" s="16"/>
      <c r="M65" s="16"/>
      <c r="N65" s="18" t="s">
        <v>313</v>
      </c>
      <c r="O65" s="22" t="s">
        <v>328</v>
      </c>
      <c r="P65" s="22" t="s">
        <v>265</v>
      </c>
      <c r="Q65" s="22"/>
      <c r="R65" s="22"/>
      <c r="S65" s="22"/>
      <c r="T65" s="22"/>
      <c r="U65" s="33"/>
      <c r="V65" s="19"/>
      <c r="W65" s="19"/>
      <c r="X65" s="20"/>
      <c r="Y65" s="19"/>
      <c r="Z65" s="21"/>
      <c r="AA65" s="36" cm="1">
        <f t="array" ref="AA65">Vorlauf(Tabelle134[[#This Row],[Anbieter]])</f>
        <v>6</v>
      </c>
      <c r="AB65" s="37">
        <f>IFERROR(EDATE(Tabelle134[[#This Row],[Vertragsende]], -Tabelle134[[#This Row],[Vorlauf]]) + 1, "")</f>
        <v>46004</v>
      </c>
      <c r="AC65" s="37">
        <f>IFERROR(EDATE(Tabelle134[[#This Row],[Vertragsende]], -Tabelle134[[#This Row],[Vorlauf]] - 1) + 1, "")</f>
        <v>45974</v>
      </c>
    </row>
    <row r="66" spans="1:29" x14ac:dyDescent="0.25">
      <c r="A66" s="35">
        <f t="shared" si="2"/>
        <v>63</v>
      </c>
      <c r="B66" s="16" t="s">
        <v>89</v>
      </c>
      <c r="C66" s="16" t="s">
        <v>90</v>
      </c>
      <c r="D66" s="16" t="s">
        <v>336</v>
      </c>
      <c r="E66" s="16" t="s">
        <v>66</v>
      </c>
      <c r="F66" s="16" t="s">
        <v>337</v>
      </c>
      <c r="G66" s="18" t="s">
        <v>306</v>
      </c>
      <c r="H66" s="18" t="s">
        <v>306</v>
      </c>
      <c r="I66" s="32">
        <v>46185</v>
      </c>
      <c r="J66" s="32">
        <v>46155</v>
      </c>
      <c r="K66" s="32">
        <v>46082</v>
      </c>
      <c r="L66" s="16"/>
      <c r="M66" s="16"/>
      <c r="N66" s="18" t="s">
        <v>313</v>
      </c>
      <c r="O66" s="22" t="s">
        <v>328</v>
      </c>
      <c r="P66" s="22" t="s">
        <v>265</v>
      </c>
      <c r="Q66" s="22"/>
      <c r="R66" s="22"/>
      <c r="S66" s="22"/>
      <c r="T66" s="22"/>
      <c r="U66" s="33"/>
      <c r="V66" s="19"/>
      <c r="W66" s="19"/>
      <c r="X66" s="20"/>
      <c r="Y66" s="19"/>
      <c r="Z66" s="21"/>
      <c r="AA66" s="36" cm="1">
        <f t="array" ref="AA66">Vorlauf(Tabelle134[[#This Row],[Anbieter]])</f>
        <v>6</v>
      </c>
      <c r="AB66" s="37">
        <f>IFERROR(EDATE(Tabelle134[[#This Row],[Vertragsende]], -Tabelle134[[#This Row],[Vorlauf]]) + 1, "")</f>
        <v>46004</v>
      </c>
      <c r="AC66" s="37">
        <f>IFERROR(EDATE(Tabelle134[[#This Row],[Vertragsende]], -Tabelle134[[#This Row],[Vorlauf]] - 1) + 1, "")</f>
        <v>45974</v>
      </c>
    </row>
    <row r="67" spans="1:29" x14ac:dyDescent="0.25">
      <c r="A67" s="35">
        <f t="shared" si="2"/>
        <v>64</v>
      </c>
      <c r="B67" s="16" t="s">
        <v>91</v>
      </c>
      <c r="C67" s="16" t="s">
        <v>92</v>
      </c>
      <c r="D67" s="16" t="s">
        <v>336</v>
      </c>
      <c r="E67" s="16" t="s">
        <v>66</v>
      </c>
      <c r="F67" s="16" t="s">
        <v>337</v>
      </c>
      <c r="G67" s="18" t="s">
        <v>306</v>
      </c>
      <c r="H67" s="18" t="s">
        <v>306</v>
      </c>
      <c r="I67" s="32">
        <v>46185</v>
      </c>
      <c r="J67" s="32">
        <v>46155</v>
      </c>
      <c r="K67" s="32">
        <v>46082</v>
      </c>
      <c r="L67" s="16"/>
      <c r="M67" s="16"/>
      <c r="N67" s="18" t="s">
        <v>313</v>
      </c>
      <c r="O67" s="22" t="s">
        <v>328</v>
      </c>
      <c r="P67" s="22" t="s">
        <v>265</v>
      </c>
      <c r="Q67" s="22"/>
      <c r="R67" s="22"/>
      <c r="S67" s="22"/>
      <c r="T67" s="22"/>
      <c r="U67" s="33"/>
      <c r="V67" s="19"/>
      <c r="W67" s="19"/>
      <c r="X67" s="20"/>
      <c r="Y67" s="19"/>
      <c r="Z67" s="21"/>
      <c r="AA67" s="36" cm="1">
        <f t="array" ref="AA67">Vorlauf(Tabelle134[[#This Row],[Anbieter]])</f>
        <v>6</v>
      </c>
      <c r="AB67" s="37">
        <f>IFERROR(EDATE(Tabelle134[[#This Row],[Vertragsende]], -Tabelle134[[#This Row],[Vorlauf]]) + 1, "")</f>
        <v>46004</v>
      </c>
      <c r="AC67" s="37">
        <f>IFERROR(EDATE(Tabelle134[[#This Row],[Vertragsende]], -Tabelle134[[#This Row],[Vorlauf]] - 1) + 1, "")</f>
        <v>45974</v>
      </c>
    </row>
    <row r="68" spans="1:29" x14ac:dyDescent="0.25">
      <c r="A68" s="35">
        <f t="shared" si="2"/>
        <v>65</v>
      </c>
      <c r="B68" s="16" t="s">
        <v>93</v>
      </c>
      <c r="C68" s="16" t="s">
        <v>94</v>
      </c>
      <c r="D68" s="16" t="s">
        <v>336</v>
      </c>
      <c r="E68" s="16" t="s">
        <v>66</v>
      </c>
      <c r="F68" s="16" t="s">
        <v>337</v>
      </c>
      <c r="G68" s="18" t="s">
        <v>306</v>
      </c>
      <c r="H68" s="18" t="s">
        <v>306</v>
      </c>
      <c r="I68" s="32">
        <v>46185</v>
      </c>
      <c r="J68" s="32">
        <v>46155</v>
      </c>
      <c r="K68" s="32">
        <v>46082</v>
      </c>
      <c r="L68" s="16"/>
      <c r="M68" s="16"/>
      <c r="N68" s="18" t="s">
        <v>313</v>
      </c>
      <c r="O68" s="22" t="s">
        <v>328</v>
      </c>
      <c r="P68" s="22" t="s">
        <v>265</v>
      </c>
      <c r="Q68" s="22"/>
      <c r="R68" s="22"/>
      <c r="S68" s="22"/>
      <c r="T68" s="22"/>
      <c r="U68" s="33"/>
      <c r="V68" s="19"/>
      <c r="W68" s="19"/>
      <c r="X68" s="20"/>
      <c r="Y68" s="19"/>
      <c r="Z68" s="21"/>
      <c r="AA68" s="36" cm="1">
        <f t="array" ref="AA68">Vorlauf(Tabelle134[[#This Row],[Anbieter]])</f>
        <v>6</v>
      </c>
      <c r="AB68" s="37">
        <f>IFERROR(EDATE(Tabelle134[[#This Row],[Vertragsende]], -Tabelle134[[#This Row],[Vorlauf]]) + 1, "")</f>
        <v>46004</v>
      </c>
      <c r="AC68" s="37">
        <f>IFERROR(EDATE(Tabelle134[[#This Row],[Vertragsende]], -Tabelle134[[#This Row],[Vorlauf]] - 1) + 1, "")</f>
        <v>45974</v>
      </c>
    </row>
    <row r="69" spans="1:29" x14ac:dyDescent="0.25">
      <c r="A69" s="35">
        <f t="shared" ref="A69:A95" si="3">ROW()-3</f>
        <v>66</v>
      </c>
      <c r="B69" s="16" t="s">
        <v>95</v>
      </c>
      <c r="C69" s="16" t="s">
        <v>96</v>
      </c>
      <c r="D69" s="16" t="s">
        <v>336</v>
      </c>
      <c r="E69" s="16" t="s">
        <v>66</v>
      </c>
      <c r="F69" s="16" t="s">
        <v>337</v>
      </c>
      <c r="G69" s="18" t="s">
        <v>306</v>
      </c>
      <c r="H69" s="18" t="s">
        <v>306</v>
      </c>
      <c r="I69" s="32">
        <v>46185</v>
      </c>
      <c r="J69" s="32">
        <v>46155</v>
      </c>
      <c r="K69" s="32">
        <v>46082</v>
      </c>
      <c r="L69" s="16"/>
      <c r="M69" s="16"/>
      <c r="N69" s="18" t="s">
        <v>313</v>
      </c>
      <c r="O69" s="22" t="s">
        <v>328</v>
      </c>
      <c r="P69" s="22" t="s">
        <v>265</v>
      </c>
      <c r="Q69" s="22"/>
      <c r="R69" s="22"/>
      <c r="S69" s="22"/>
      <c r="T69" s="22"/>
      <c r="U69" s="33"/>
      <c r="V69" s="19"/>
      <c r="W69" s="19"/>
      <c r="X69" s="20"/>
      <c r="Y69" s="19"/>
      <c r="Z69" s="21"/>
      <c r="AA69" s="36" cm="1">
        <f t="array" ref="AA69">Vorlauf(Tabelle134[[#This Row],[Anbieter]])</f>
        <v>6</v>
      </c>
      <c r="AB69" s="37">
        <f>IFERROR(EDATE(Tabelle134[[#This Row],[Vertragsende]], -Tabelle134[[#This Row],[Vorlauf]]) + 1, "")</f>
        <v>46004</v>
      </c>
      <c r="AC69" s="37">
        <f>IFERROR(EDATE(Tabelle134[[#This Row],[Vertragsende]], -Tabelle134[[#This Row],[Vorlauf]] - 1) + 1, "")</f>
        <v>45974</v>
      </c>
    </row>
    <row r="70" spans="1:29" x14ac:dyDescent="0.25">
      <c r="A70" s="35">
        <f t="shared" si="3"/>
        <v>67</v>
      </c>
      <c r="B70" s="16" t="s">
        <v>97</v>
      </c>
      <c r="C70" s="16" t="s">
        <v>98</v>
      </c>
      <c r="D70" s="16" t="s">
        <v>336</v>
      </c>
      <c r="E70" s="16" t="s">
        <v>66</v>
      </c>
      <c r="F70" s="16" t="s">
        <v>337</v>
      </c>
      <c r="G70" s="18" t="s">
        <v>306</v>
      </c>
      <c r="H70" s="18" t="s">
        <v>306</v>
      </c>
      <c r="I70" s="32">
        <v>46185</v>
      </c>
      <c r="J70" s="32">
        <v>46155</v>
      </c>
      <c r="K70" s="32">
        <v>46082</v>
      </c>
      <c r="L70" s="16"/>
      <c r="M70" s="16"/>
      <c r="N70" s="18" t="s">
        <v>313</v>
      </c>
      <c r="O70" s="22" t="s">
        <v>328</v>
      </c>
      <c r="P70" s="22" t="s">
        <v>265</v>
      </c>
      <c r="Q70" s="22"/>
      <c r="R70" s="22"/>
      <c r="S70" s="22"/>
      <c r="T70" s="22"/>
      <c r="U70" s="33"/>
      <c r="V70" s="19"/>
      <c r="W70" s="19"/>
      <c r="X70" s="20"/>
      <c r="Y70" s="19"/>
      <c r="Z70" s="21"/>
      <c r="AA70" s="36" cm="1">
        <f t="array" ref="AA70">Vorlauf(Tabelle134[[#This Row],[Anbieter]])</f>
        <v>6</v>
      </c>
      <c r="AB70" s="37">
        <f>IFERROR(EDATE(Tabelle134[[#This Row],[Vertragsende]], -Tabelle134[[#This Row],[Vorlauf]]) + 1, "")</f>
        <v>46004</v>
      </c>
      <c r="AC70" s="37">
        <f>IFERROR(EDATE(Tabelle134[[#This Row],[Vertragsende]], -Tabelle134[[#This Row],[Vorlauf]] - 1) + 1, "")</f>
        <v>45974</v>
      </c>
    </row>
    <row r="71" spans="1:29" x14ac:dyDescent="0.25">
      <c r="A71" s="35">
        <f t="shared" si="3"/>
        <v>68</v>
      </c>
      <c r="B71" s="16" t="s">
        <v>224</v>
      </c>
      <c r="C71" s="16" t="s">
        <v>225</v>
      </c>
      <c r="D71" s="16" t="s">
        <v>336</v>
      </c>
      <c r="E71" s="16" t="s">
        <v>66</v>
      </c>
      <c r="F71" s="16" t="s">
        <v>337</v>
      </c>
      <c r="G71" s="18" t="s">
        <v>306</v>
      </c>
      <c r="H71" s="18"/>
      <c r="I71" s="32">
        <v>46198</v>
      </c>
      <c r="J71" s="32">
        <v>46168</v>
      </c>
      <c r="K71" s="32">
        <v>46082</v>
      </c>
      <c r="L71" s="16"/>
      <c r="M71" s="16"/>
      <c r="N71" s="18" t="s">
        <v>313</v>
      </c>
      <c r="O71" s="22" t="s">
        <v>328</v>
      </c>
      <c r="P71" s="22" t="s">
        <v>161</v>
      </c>
      <c r="Q71" s="22"/>
      <c r="R71" s="22"/>
      <c r="S71" s="22"/>
      <c r="T71" s="22"/>
      <c r="U71" s="33"/>
      <c r="V71" s="19"/>
      <c r="W71" s="19"/>
      <c r="X71" s="20"/>
      <c r="Y71" s="19"/>
      <c r="Z71" s="21"/>
      <c r="AA71" s="36" cm="1">
        <f t="array" ref="AA71">Vorlauf(Tabelle134[[#This Row],[Anbieter]])</f>
        <v>6</v>
      </c>
      <c r="AB71" s="37">
        <f>IFERROR(EDATE(Tabelle134[[#This Row],[Vertragsende]], -Tabelle134[[#This Row],[Vorlauf]]) + 1, "")</f>
        <v>46017</v>
      </c>
      <c r="AC71" s="37">
        <f>IFERROR(EDATE(Tabelle134[[#This Row],[Vertragsende]], -Tabelle134[[#This Row],[Vorlauf]] - 1) + 1, "")</f>
        <v>45987</v>
      </c>
    </row>
    <row r="72" spans="1:29" x14ac:dyDescent="0.25">
      <c r="A72" s="35">
        <f t="shared" si="3"/>
        <v>69</v>
      </c>
      <c r="B72" s="16" t="s">
        <v>226</v>
      </c>
      <c r="C72" s="16" t="s">
        <v>227</v>
      </c>
      <c r="D72" s="16" t="s">
        <v>336</v>
      </c>
      <c r="E72" s="16" t="s">
        <v>66</v>
      </c>
      <c r="F72" s="16" t="s">
        <v>337</v>
      </c>
      <c r="G72" s="18" t="s">
        <v>306</v>
      </c>
      <c r="H72" s="18"/>
      <c r="I72" s="32">
        <v>46198</v>
      </c>
      <c r="J72" s="32">
        <v>46168</v>
      </c>
      <c r="K72" s="32">
        <v>46082</v>
      </c>
      <c r="L72" s="16"/>
      <c r="M72" s="16"/>
      <c r="N72" s="18" t="s">
        <v>313</v>
      </c>
      <c r="O72" s="22" t="s">
        <v>328</v>
      </c>
      <c r="P72" s="22" t="s">
        <v>161</v>
      </c>
      <c r="Q72" s="22"/>
      <c r="R72" s="22"/>
      <c r="S72" s="22"/>
      <c r="T72" s="22"/>
      <c r="U72" s="33"/>
      <c r="V72" s="19"/>
      <c r="W72" s="19"/>
      <c r="X72" s="20"/>
      <c r="Y72" s="19"/>
      <c r="Z72" s="21"/>
      <c r="AA72" s="36" cm="1">
        <f t="array" ref="AA72">Vorlauf(Tabelle134[[#This Row],[Anbieter]])</f>
        <v>6</v>
      </c>
      <c r="AB72" s="37">
        <f>IFERROR(EDATE(Tabelle134[[#This Row],[Vertragsende]], -Tabelle134[[#This Row],[Vorlauf]]) + 1, "")</f>
        <v>46017</v>
      </c>
      <c r="AC72" s="37">
        <f>IFERROR(EDATE(Tabelle134[[#This Row],[Vertragsende]], -Tabelle134[[#This Row],[Vorlauf]] - 1) + 1, "")</f>
        <v>45987</v>
      </c>
    </row>
    <row r="73" spans="1:29" x14ac:dyDescent="0.25">
      <c r="A73" s="35">
        <f t="shared" si="3"/>
        <v>70</v>
      </c>
      <c r="B73" s="16" t="s">
        <v>228</v>
      </c>
      <c r="C73" s="16" t="s">
        <v>229</v>
      </c>
      <c r="D73" s="16" t="s">
        <v>336</v>
      </c>
      <c r="E73" s="16" t="s">
        <v>66</v>
      </c>
      <c r="F73" s="16" t="s">
        <v>337</v>
      </c>
      <c r="G73" s="18" t="s">
        <v>306</v>
      </c>
      <c r="H73" s="18"/>
      <c r="I73" s="32">
        <v>46198</v>
      </c>
      <c r="J73" s="32">
        <v>46168</v>
      </c>
      <c r="K73" s="32">
        <v>46082</v>
      </c>
      <c r="L73" s="16"/>
      <c r="M73" s="16"/>
      <c r="N73" s="18" t="s">
        <v>313</v>
      </c>
      <c r="O73" s="22" t="s">
        <v>328</v>
      </c>
      <c r="P73" s="22" t="s">
        <v>161</v>
      </c>
      <c r="Q73" s="22"/>
      <c r="R73" s="22"/>
      <c r="S73" s="22"/>
      <c r="T73" s="22"/>
      <c r="U73" s="33"/>
      <c r="V73" s="19"/>
      <c r="W73" s="19"/>
      <c r="X73" s="20"/>
      <c r="Y73" s="19"/>
      <c r="Z73" s="21"/>
      <c r="AA73" s="36" cm="1">
        <f t="array" ref="AA73">Vorlauf(Tabelle134[[#This Row],[Anbieter]])</f>
        <v>6</v>
      </c>
      <c r="AB73" s="37">
        <f>IFERROR(EDATE(Tabelle134[[#This Row],[Vertragsende]], -Tabelle134[[#This Row],[Vorlauf]]) + 1, "")</f>
        <v>46017</v>
      </c>
      <c r="AC73" s="37">
        <f>IFERROR(EDATE(Tabelle134[[#This Row],[Vertragsende]], -Tabelle134[[#This Row],[Vorlauf]] - 1) + 1, "")</f>
        <v>45987</v>
      </c>
    </row>
    <row r="74" spans="1:29" x14ac:dyDescent="0.25">
      <c r="A74" s="35">
        <f t="shared" si="3"/>
        <v>71</v>
      </c>
      <c r="B74" s="16" t="s">
        <v>230</v>
      </c>
      <c r="C74" s="16" t="s">
        <v>231</v>
      </c>
      <c r="D74" s="16" t="s">
        <v>336</v>
      </c>
      <c r="E74" s="16" t="s">
        <v>66</v>
      </c>
      <c r="F74" s="16" t="s">
        <v>337</v>
      </c>
      <c r="G74" s="18" t="s">
        <v>306</v>
      </c>
      <c r="H74" s="18"/>
      <c r="I74" s="32">
        <v>46198</v>
      </c>
      <c r="J74" s="32">
        <v>46168</v>
      </c>
      <c r="K74" s="32">
        <v>46082</v>
      </c>
      <c r="L74" s="16"/>
      <c r="M74" s="16"/>
      <c r="N74" s="18" t="s">
        <v>313</v>
      </c>
      <c r="O74" s="22" t="s">
        <v>328</v>
      </c>
      <c r="P74" s="22" t="s">
        <v>161</v>
      </c>
      <c r="Q74" s="22"/>
      <c r="R74" s="22"/>
      <c r="S74" s="22"/>
      <c r="T74" s="22"/>
      <c r="U74" s="33"/>
      <c r="V74" s="19"/>
      <c r="W74" s="19"/>
      <c r="X74" s="20"/>
      <c r="Y74" s="19"/>
      <c r="Z74" s="21"/>
      <c r="AA74" s="36" cm="1">
        <f t="array" ref="AA74">Vorlauf(Tabelle134[[#This Row],[Anbieter]])</f>
        <v>6</v>
      </c>
      <c r="AB74" s="37">
        <f>IFERROR(EDATE(Tabelle134[[#This Row],[Vertragsende]], -Tabelle134[[#This Row],[Vorlauf]]) + 1, "")</f>
        <v>46017</v>
      </c>
      <c r="AC74" s="37">
        <f>IFERROR(EDATE(Tabelle134[[#This Row],[Vertragsende]], -Tabelle134[[#This Row],[Vorlauf]] - 1) + 1, "")</f>
        <v>45987</v>
      </c>
    </row>
    <row r="75" spans="1:29" x14ac:dyDescent="0.25">
      <c r="A75" s="35">
        <f t="shared" si="3"/>
        <v>72</v>
      </c>
      <c r="B75" s="16" t="s">
        <v>232</v>
      </c>
      <c r="C75" s="16" t="s">
        <v>233</v>
      </c>
      <c r="D75" s="16" t="s">
        <v>336</v>
      </c>
      <c r="E75" s="16" t="s">
        <v>66</v>
      </c>
      <c r="F75" s="16" t="s">
        <v>337</v>
      </c>
      <c r="G75" s="18" t="s">
        <v>306</v>
      </c>
      <c r="H75" s="18"/>
      <c r="I75" s="32">
        <v>46198</v>
      </c>
      <c r="J75" s="32">
        <v>46168</v>
      </c>
      <c r="K75" s="32">
        <v>46082</v>
      </c>
      <c r="L75" s="16"/>
      <c r="M75" s="16"/>
      <c r="N75" s="18" t="s">
        <v>313</v>
      </c>
      <c r="O75" s="22" t="s">
        <v>328</v>
      </c>
      <c r="P75" s="22" t="s">
        <v>161</v>
      </c>
      <c r="Q75" s="22"/>
      <c r="R75" s="22"/>
      <c r="S75" s="22"/>
      <c r="T75" s="22"/>
      <c r="U75" s="33"/>
      <c r="V75" s="19"/>
      <c r="W75" s="19"/>
      <c r="X75" s="20"/>
      <c r="Y75" s="19"/>
      <c r="Z75" s="21"/>
      <c r="AA75" s="36" cm="1">
        <f t="array" ref="AA75">Vorlauf(Tabelle134[[#This Row],[Anbieter]])</f>
        <v>6</v>
      </c>
      <c r="AB75" s="37">
        <f>IFERROR(EDATE(Tabelle134[[#This Row],[Vertragsende]], -Tabelle134[[#This Row],[Vorlauf]]) + 1, "")</f>
        <v>46017</v>
      </c>
      <c r="AC75" s="37">
        <f>IFERROR(EDATE(Tabelle134[[#This Row],[Vertragsende]], -Tabelle134[[#This Row],[Vorlauf]] - 1) + 1, "")</f>
        <v>45987</v>
      </c>
    </row>
    <row r="76" spans="1:29" x14ac:dyDescent="0.25">
      <c r="A76" s="35">
        <f t="shared" si="3"/>
        <v>73</v>
      </c>
      <c r="B76" s="16" t="s">
        <v>353</v>
      </c>
      <c r="C76" s="16" t="s">
        <v>367</v>
      </c>
      <c r="D76" s="16" t="s">
        <v>336</v>
      </c>
      <c r="E76" s="16" t="s">
        <v>66</v>
      </c>
      <c r="F76" s="16" t="s">
        <v>337</v>
      </c>
      <c r="G76" s="18" t="s">
        <v>306</v>
      </c>
      <c r="H76" s="18" t="s">
        <v>306</v>
      </c>
      <c r="I76" s="32">
        <v>46175</v>
      </c>
      <c r="J76" s="32">
        <v>46145</v>
      </c>
      <c r="K76" s="32">
        <v>46082</v>
      </c>
      <c r="L76" s="16"/>
      <c r="M76" s="16"/>
      <c r="N76" s="18" t="s">
        <v>313</v>
      </c>
      <c r="O76" s="22" t="s">
        <v>328</v>
      </c>
      <c r="P76" s="22" t="s">
        <v>338</v>
      </c>
      <c r="Q76" s="22" t="s">
        <v>334</v>
      </c>
      <c r="R76" s="22"/>
      <c r="S76" s="22"/>
      <c r="T76" s="22"/>
      <c r="U76" s="33"/>
      <c r="V76" s="19"/>
      <c r="W76" s="19"/>
      <c r="X76" s="20"/>
      <c r="Y76" s="19"/>
      <c r="Z76" s="21"/>
      <c r="AA76" s="36" cm="1">
        <f t="array" ref="AA76">Vorlauf(Tabelle134[[#This Row],[Anbieter]])</f>
        <v>6</v>
      </c>
      <c r="AB76" s="37">
        <f>IFERROR(EDATE(Tabelle134[[#This Row],[Vertragsende]], -Tabelle134[[#This Row],[Vorlauf]]) + 1, "")</f>
        <v>45994</v>
      </c>
      <c r="AC76" s="37">
        <f>IFERROR(EDATE(Tabelle134[[#This Row],[Vertragsende]], -Tabelle134[[#This Row],[Vorlauf]] - 1) + 1, "")</f>
        <v>45964</v>
      </c>
    </row>
    <row r="77" spans="1:29" x14ac:dyDescent="0.25">
      <c r="A77" s="35">
        <f t="shared" si="3"/>
        <v>74</v>
      </c>
      <c r="B77" s="16" t="s">
        <v>99</v>
      </c>
      <c r="C77" s="16" t="s">
        <v>100</v>
      </c>
      <c r="D77" s="16" t="s">
        <v>336</v>
      </c>
      <c r="E77" s="16" t="s">
        <v>66</v>
      </c>
      <c r="F77" s="16" t="s">
        <v>337</v>
      </c>
      <c r="G77" s="18" t="s">
        <v>306</v>
      </c>
      <c r="H77" s="18"/>
      <c r="I77" s="32">
        <v>46207</v>
      </c>
      <c r="J77" s="32">
        <v>46178</v>
      </c>
      <c r="K77" s="32">
        <v>46113</v>
      </c>
      <c r="L77" s="16"/>
      <c r="M77" s="16"/>
      <c r="N77" s="18" t="s">
        <v>313</v>
      </c>
      <c r="O77" s="22" t="s">
        <v>328</v>
      </c>
      <c r="P77" s="22" t="s">
        <v>338</v>
      </c>
      <c r="Q77" s="22" t="s">
        <v>334</v>
      </c>
      <c r="R77" s="22"/>
      <c r="S77" s="22"/>
      <c r="T77" s="22"/>
      <c r="U77" s="33"/>
      <c r="V77" s="19"/>
      <c r="W77" s="19"/>
      <c r="X77" s="20"/>
      <c r="Y77" s="19"/>
      <c r="Z77" s="21"/>
      <c r="AA77" s="36" cm="1">
        <f t="array" ref="AA77">Vorlauf(Tabelle134[[#This Row],[Anbieter]])</f>
        <v>6</v>
      </c>
      <c r="AB77" s="37">
        <f>IFERROR(EDATE(Tabelle134[[#This Row],[Vertragsende]], -Tabelle134[[#This Row],[Vorlauf]]) + 1, "")</f>
        <v>46027</v>
      </c>
      <c r="AC77" s="37">
        <f>IFERROR(EDATE(Tabelle134[[#This Row],[Vertragsende]], -Tabelle134[[#This Row],[Vorlauf]] - 1) + 1, "")</f>
        <v>45996</v>
      </c>
    </row>
    <row r="78" spans="1:29" x14ac:dyDescent="0.25">
      <c r="A78" s="35">
        <f t="shared" si="3"/>
        <v>75</v>
      </c>
      <c r="B78" s="16" t="s">
        <v>102</v>
      </c>
      <c r="C78" s="16" t="s">
        <v>103</v>
      </c>
      <c r="D78" s="16" t="s">
        <v>336</v>
      </c>
      <c r="E78" s="16" t="s">
        <v>66</v>
      </c>
      <c r="F78" s="16" t="s">
        <v>337</v>
      </c>
      <c r="G78" s="18" t="s">
        <v>306</v>
      </c>
      <c r="H78" s="18" t="s">
        <v>82</v>
      </c>
      <c r="I78" s="32">
        <v>46215</v>
      </c>
      <c r="J78" s="32">
        <v>46186</v>
      </c>
      <c r="K78" s="32">
        <v>46113</v>
      </c>
      <c r="L78" s="16"/>
      <c r="M78" s="16"/>
      <c r="N78" s="18" t="s">
        <v>313</v>
      </c>
      <c r="O78" s="22" t="s">
        <v>328</v>
      </c>
      <c r="P78" s="22" t="s">
        <v>338</v>
      </c>
      <c r="Q78" s="22" t="s">
        <v>334</v>
      </c>
      <c r="R78" s="22"/>
      <c r="S78" s="22"/>
      <c r="T78" s="22"/>
      <c r="U78" s="33"/>
      <c r="V78" s="19"/>
      <c r="W78" s="19"/>
      <c r="X78" s="20"/>
      <c r="Y78" s="19"/>
      <c r="Z78" s="21"/>
      <c r="AA78" s="36" cm="1">
        <f t="array" ref="AA78">Vorlauf(Tabelle134[[#This Row],[Anbieter]])</f>
        <v>6</v>
      </c>
      <c r="AB78" s="37">
        <f>IFERROR(EDATE(Tabelle134[[#This Row],[Vertragsende]], -Tabelle134[[#This Row],[Vorlauf]]) + 1, "")</f>
        <v>46035</v>
      </c>
      <c r="AC78" s="37">
        <f>IFERROR(EDATE(Tabelle134[[#This Row],[Vertragsende]], -Tabelle134[[#This Row],[Vorlauf]] - 1) + 1, "")</f>
        <v>46004</v>
      </c>
    </row>
    <row r="79" spans="1:29" x14ac:dyDescent="0.25">
      <c r="A79" s="35">
        <f t="shared" si="3"/>
        <v>76</v>
      </c>
      <c r="B79" s="16" t="s">
        <v>234</v>
      </c>
      <c r="C79" s="16" t="s">
        <v>235</v>
      </c>
      <c r="D79" s="16" t="s">
        <v>336</v>
      </c>
      <c r="E79" s="16" t="s">
        <v>66</v>
      </c>
      <c r="F79" s="16" t="s">
        <v>337</v>
      </c>
      <c r="G79" s="18" t="s">
        <v>306</v>
      </c>
      <c r="H79" s="18" t="s">
        <v>306</v>
      </c>
      <c r="I79" s="32">
        <v>46217</v>
      </c>
      <c r="J79" s="32">
        <v>46188</v>
      </c>
      <c r="K79" s="32">
        <v>46113</v>
      </c>
      <c r="L79" s="16"/>
      <c r="M79" s="16"/>
      <c r="N79" s="18" t="s">
        <v>313</v>
      </c>
      <c r="O79" s="22" t="s">
        <v>328</v>
      </c>
      <c r="P79" s="22" t="s">
        <v>338</v>
      </c>
      <c r="Q79" s="22" t="s">
        <v>334</v>
      </c>
      <c r="R79" s="22"/>
      <c r="S79" s="22"/>
      <c r="T79" s="22"/>
      <c r="U79" s="33"/>
      <c r="V79" s="19"/>
      <c r="W79" s="19"/>
      <c r="X79" s="20"/>
      <c r="Y79" s="19"/>
      <c r="Z79" s="21"/>
      <c r="AA79" s="36" cm="1">
        <f t="array" ref="AA79">Vorlauf(Tabelle134[[#This Row],[Anbieter]])</f>
        <v>6</v>
      </c>
      <c r="AB79" s="37">
        <f>IFERROR(EDATE(Tabelle134[[#This Row],[Vertragsende]], -Tabelle134[[#This Row],[Vorlauf]]) + 1, "")</f>
        <v>46037</v>
      </c>
      <c r="AC79" s="37">
        <f>IFERROR(EDATE(Tabelle134[[#This Row],[Vertragsende]], -Tabelle134[[#This Row],[Vorlauf]] - 1) + 1, "")</f>
        <v>46006</v>
      </c>
    </row>
    <row r="80" spans="1:29" x14ac:dyDescent="0.25">
      <c r="A80" s="35">
        <f t="shared" si="3"/>
        <v>77</v>
      </c>
      <c r="B80" s="16" t="s">
        <v>242</v>
      </c>
      <c r="C80" s="16" t="s">
        <v>243</v>
      </c>
      <c r="D80" s="16" t="s">
        <v>65</v>
      </c>
      <c r="E80" s="16" t="s">
        <v>66</v>
      </c>
      <c r="F80" s="16" t="s">
        <v>337</v>
      </c>
      <c r="G80" s="18" t="s">
        <v>306</v>
      </c>
      <c r="H80" s="18"/>
      <c r="I80" s="32">
        <v>46327</v>
      </c>
      <c r="J80" s="32">
        <v>46297</v>
      </c>
      <c r="K80" s="32">
        <v>46235</v>
      </c>
      <c r="L80" s="16"/>
      <c r="M80" s="16"/>
      <c r="N80" s="18" t="s">
        <v>313</v>
      </c>
      <c r="O80" s="22" t="s">
        <v>328</v>
      </c>
      <c r="P80" s="22" t="s">
        <v>338</v>
      </c>
      <c r="Q80" s="22" t="s">
        <v>334</v>
      </c>
      <c r="R80" s="22"/>
      <c r="S80" s="22"/>
      <c r="T80" s="22"/>
      <c r="U80" s="33"/>
      <c r="V80" s="19"/>
      <c r="W80" s="19"/>
      <c r="X80" s="20"/>
      <c r="Y80" s="19"/>
      <c r="Z80" s="21"/>
      <c r="AA80" s="36" cm="1">
        <f t="array" ref="AA80">Vorlauf(Tabelle134[[#This Row],[Anbieter]])</f>
        <v>6</v>
      </c>
      <c r="AB80" s="37">
        <f>IFERROR(EDATE(Tabelle134[[#This Row],[Vertragsende]], -Tabelle134[[#This Row],[Vorlauf]]) + 1, "")</f>
        <v>46144</v>
      </c>
      <c r="AC80" s="37">
        <f>IFERROR(EDATE(Tabelle134[[#This Row],[Vertragsende]], -Tabelle134[[#This Row],[Vorlauf]] - 1) + 1, "")</f>
        <v>46114</v>
      </c>
    </row>
    <row r="81" spans="1:29" x14ac:dyDescent="0.25">
      <c r="A81" s="35">
        <f t="shared" si="3"/>
        <v>78</v>
      </c>
      <c r="B81" s="16" t="s">
        <v>236</v>
      </c>
      <c r="C81" s="16" t="s">
        <v>237</v>
      </c>
      <c r="D81" s="16" t="s">
        <v>336</v>
      </c>
      <c r="E81" s="16" t="s">
        <v>66</v>
      </c>
      <c r="F81" s="16" t="s">
        <v>337</v>
      </c>
      <c r="G81" s="18" t="s">
        <v>306</v>
      </c>
      <c r="H81" s="18" t="s">
        <v>306</v>
      </c>
      <c r="I81" s="32">
        <v>46252</v>
      </c>
      <c r="J81" s="32">
        <v>46222</v>
      </c>
      <c r="K81" s="32">
        <v>46143</v>
      </c>
      <c r="L81" s="16"/>
      <c r="M81" s="16"/>
      <c r="N81" s="18" t="s">
        <v>313</v>
      </c>
      <c r="O81" s="22" t="s">
        <v>328</v>
      </c>
      <c r="P81" s="22" t="s">
        <v>338</v>
      </c>
      <c r="Q81" s="22" t="s">
        <v>334</v>
      </c>
      <c r="R81" s="22"/>
      <c r="S81" s="22"/>
      <c r="T81" s="22"/>
      <c r="U81" s="33"/>
      <c r="V81" s="19"/>
      <c r="W81" s="19"/>
      <c r="X81" s="20"/>
      <c r="Y81" s="19"/>
      <c r="Z81" s="21"/>
      <c r="AA81" s="36" cm="1">
        <f t="array" ref="AA81">Vorlauf(Tabelle134[[#This Row],[Anbieter]])</f>
        <v>6</v>
      </c>
      <c r="AB81" s="37">
        <f>IFERROR(EDATE(Tabelle134[[#This Row],[Vertragsende]], -Tabelle134[[#This Row],[Vorlauf]]) + 1, "")</f>
        <v>46072</v>
      </c>
      <c r="AC81" s="37">
        <f>IFERROR(EDATE(Tabelle134[[#This Row],[Vertragsende]], -Tabelle134[[#This Row],[Vorlauf]] - 1) + 1, "")</f>
        <v>46041</v>
      </c>
    </row>
    <row r="82" spans="1:29" x14ac:dyDescent="0.25">
      <c r="A82" s="35">
        <f t="shared" si="3"/>
        <v>79</v>
      </c>
      <c r="B82" s="16" t="s">
        <v>238</v>
      </c>
      <c r="C82" s="16" t="s">
        <v>239</v>
      </c>
      <c r="D82" s="16" t="s">
        <v>336</v>
      </c>
      <c r="E82" s="16" t="s">
        <v>66</v>
      </c>
      <c r="F82" s="16" t="s">
        <v>337</v>
      </c>
      <c r="G82" s="18" t="s">
        <v>306</v>
      </c>
      <c r="H82" s="18" t="s">
        <v>306</v>
      </c>
      <c r="I82" s="32">
        <v>46258</v>
      </c>
      <c r="J82" s="32">
        <v>46228</v>
      </c>
      <c r="K82" s="32">
        <v>46143</v>
      </c>
      <c r="L82" s="16"/>
      <c r="M82" s="16"/>
      <c r="N82" s="18" t="s">
        <v>313</v>
      </c>
      <c r="O82" s="22" t="s">
        <v>328</v>
      </c>
      <c r="P82" s="22" t="s">
        <v>338</v>
      </c>
      <c r="Q82" s="22" t="s">
        <v>334</v>
      </c>
      <c r="R82" s="22"/>
      <c r="S82" s="22"/>
      <c r="T82" s="22"/>
      <c r="U82" s="33"/>
      <c r="V82" s="19"/>
      <c r="W82" s="19"/>
      <c r="X82" s="20"/>
      <c r="Y82" s="19"/>
      <c r="Z82" s="21"/>
      <c r="AA82" s="36" cm="1">
        <f t="array" ref="AA82">Vorlauf(Tabelle134[[#This Row],[Anbieter]])</f>
        <v>6</v>
      </c>
      <c r="AB82" s="37">
        <f>IFERROR(EDATE(Tabelle134[[#This Row],[Vertragsende]], -Tabelle134[[#This Row],[Vorlauf]]) + 1, "")</f>
        <v>46078</v>
      </c>
      <c r="AC82" s="37">
        <f>IFERROR(EDATE(Tabelle134[[#This Row],[Vertragsende]], -Tabelle134[[#This Row],[Vorlauf]] - 1) + 1, "")</f>
        <v>46047</v>
      </c>
    </row>
    <row r="83" spans="1:29" x14ac:dyDescent="0.25">
      <c r="A83" s="35">
        <f t="shared" si="3"/>
        <v>80</v>
      </c>
      <c r="B83" s="16" t="s">
        <v>240</v>
      </c>
      <c r="C83" s="16" t="s">
        <v>241</v>
      </c>
      <c r="D83" s="16" t="s">
        <v>336</v>
      </c>
      <c r="E83" s="16" t="s">
        <v>66</v>
      </c>
      <c r="F83" s="16" t="s">
        <v>337</v>
      </c>
      <c r="G83" s="18" t="s">
        <v>306</v>
      </c>
      <c r="H83" s="18"/>
      <c r="I83" s="32">
        <v>46264</v>
      </c>
      <c r="J83" s="32">
        <v>46234</v>
      </c>
      <c r="K83" s="32">
        <v>46143</v>
      </c>
      <c r="L83" s="16"/>
      <c r="M83" s="16"/>
      <c r="N83" s="18" t="s">
        <v>313</v>
      </c>
      <c r="O83" s="22" t="s">
        <v>328</v>
      </c>
      <c r="P83" s="22" t="s">
        <v>338</v>
      </c>
      <c r="Q83" s="22" t="s">
        <v>334</v>
      </c>
      <c r="R83" s="22"/>
      <c r="S83" s="22"/>
      <c r="T83" s="22"/>
      <c r="U83" s="33"/>
      <c r="V83" s="19"/>
      <c r="W83" s="19"/>
      <c r="X83" s="20"/>
      <c r="Y83" s="19"/>
      <c r="Z83" s="21"/>
      <c r="AA83" s="36" cm="1">
        <f t="array" ref="AA83">Vorlauf(Tabelle134[[#This Row],[Anbieter]])</f>
        <v>6</v>
      </c>
      <c r="AB83" s="37">
        <f>IFERROR(EDATE(Tabelle134[[#This Row],[Vertragsende]], -Tabelle134[[#This Row],[Vorlauf]]) + 1, "")</f>
        <v>46082</v>
      </c>
      <c r="AC83" s="37">
        <f>IFERROR(EDATE(Tabelle134[[#This Row],[Vertragsende]], -Tabelle134[[#This Row],[Vorlauf]] - 1) + 1, "")</f>
        <v>46053</v>
      </c>
    </row>
    <row r="84" spans="1:29" x14ac:dyDescent="0.25">
      <c r="A84" s="35">
        <f t="shared" si="3"/>
        <v>81</v>
      </c>
      <c r="B84" s="16" t="s">
        <v>105</v>
      </c>
      <c r="C84" s="16" t="s">
        <v>106</v>
      </c>
      <c r="D84" s="16" t="s">
        <v>336</v>
      </c>
      <c r="E84" s="16" t="s">
        <v>66</v>
      </c>
      <c r="F84" s="16" t="s">
        <v>337</v>
      </c>
      <c r="G84" s="18" t="s">
        <v>306</v>
      </c>
      <c r="H84" s="18"/>
      <c r="I84" s="32">
        <v>46367</v>
      </c>
      <c r="J84" s="32">
        <v>46338</v>
      </c>
      <c r="K84" s="32">
        <v>46266</v>
      </c>
      <c r="L84" s="16"/>
      <c r="M84" s="16"/>
      <c r="N84" s="18" t="s">
        <v>313</v>
      </c>
      <c r="O84" s="22" t="s">
        <v>328</v>
      </c>
      <c r="P84" s="22" t="s">
        <v>338</v>
      </c>
      <c r="Q84" s="22" t="s">
        <v>334</v>
      </c>
      <c r="R84" s="22"/>
      <c r="S84" s="22"/>
      <c r="T84" s="22"/>
      <c r="U84" s="33"/>
      <c r="V84" s="19"/>
      <c r="W84" s="19"/>
      <c r="X84" s="20"/>
      <c r="Y84" s="19"/>
      <c r="Z84" s="21"/>
      <c r="AA84" s="36" cm="1">
        <f t="array" ref="AA84">Vorlauf(Tabelle134[[#This Row],[Anbieter]])</f>
        <v>6</v>
      </c>
      <c r="AB84" s="37">
        <f>IFERROR(EDATE(Tabelle134[[#This Row],[Vertragsende]], -Tabelle134[[#This Row],[Vorlauf]]) + 1, "")</f>
        <v>46185</v>
      </c>
      <c r="AC84" s="37">
        <f>IFERROR(EDATE(Tabelle134[[#This Row],[Vertragsende]], -Tabelle134[[#This Row],[Vorlauf]] - 1) + 1, "")</f>
        <v>46154</v>
      </c>
    </row>
    <row r="85" spans="1:29" x14ac:dyDescent="0.25">
      <c r="A85" s="35">
        <f t="shared" si="3"/>
        <v>82</v>
      </c>
      <c r="B85" s="16" t="s">
        <v>245</v>
      </c>
      <c r="C85" s="16" t="s">
        <v>246</v>
      </c>
      <c r="D85" s="16" t="s">
        <v>336</v>
      </c>
      <c r="E85" s="16" t="s">
        <v>66</v>
      </c>
      <c r="F85" s="16" t="s">
        <v>337</v>
      </c>
      <c r="G85" s="18" t="s">
        <v>306</v>
      </c>
      <c r="H85" s="18"/>
      <c r="I85" s="32">
        <v>46363</v>
      </c>
      <c r="J85" s="32">
        <v>46334</v>
      </c>
      <c r="K85" s="32">
        <v>46266</v>
      </c>
      <c r="L85" s="16"/>
      <c r="M85" s="16"/>
      <c r="N85" s="18" t="s">
        <v>313</v>
      </c>
      <c r="O85" s="22" t="s">
        <v>328</v>
      </c>
      <c r="P85" s="22" t="s">
        <v>161</v>
      </c>
      <c r="Q85" s="22"/>
      <c r="R85" s="22"/>
      <c r="S85" s="22"/>
      <c r="T85" s="22"/>
      <c r="U85" s="33"/>
      <c r="V85" s="19"/>
      <c r="W85" s="19"/>
      <c r="X85" s="20"/>
      <c r="Y85" s="19"/>
      <c r="Z85" s="21"/>
      <c r="AA85" s="36" cm="1">
        <f t="array" ref="AA85">Vorlauf(Tabelle134[[#This Row],[Anbieter]])</f>
        <v>6</v>
      </c>
      <c r="AB85" s="37">
        <f>IFERROR(EDATE(Tabelle134[[#This Row],[Vertragsende]], -Tabelle134[[#This Row],[Vorlauf]]) + 1, "")</f>
        <v>46181</v>
      </c>
      <c r="AC85" s="37">
        <f>IFERROR(EDATE(Tabelle134[[#This Row],[Vertragsende]], -Tabelle134[[#This Row],[Vorlauf]] - 1) + 1, "")</f>
        <v>46150</v>
      </c>
    </row>
    <row r="86" spans="1:29" x14ac:dyDescent="0.25">
      <c r="A86" s="35">
        <f t="shared" si="3"/>
        <v>83</v>
      </c>
      <c r="B86" s="16" t="s">
        <v>252</v>
      </c>
      <c r="C86" s="16" t="s">
        <v>340</v>
      </c>
      <c r="D86" s="16" t="s">
        <v>336</v>
      </c>
      <c r="E86" s="16" t="s">
        <v>66</v>
      </c>
      <c r="F86" s="16" t="s">
        <v>337</v>
      </c>
      <c r="G86" s="18" t="s">
        <v>306</v>
      </c>
      <c r="H86" s="18"/>
      <c r="I86" s="32">
        <v>46294</v>
      </c>
      <c r="J86" s="32">
        <v>46264</v>
      </c>
      <c r="K86" s="32">
        <v>46174</v>
      </c>
      <c r="L86" s="16"/>
      <c r="M86" s="16"/>
      <c r="N86" s="18" t="s">
        <v>313</v>
      </c>
      <c r="O86" s="22" t="s">
        <v>328</v>
      </c>
      <c r="P86" s="22" t="s">
        <v>338</v>
      </c>
      <c r="Q86" s="22" t="s">
        <v>334</v>
      </c>
      <c r="R86" s="22"/>
      <c r="S86" s="22"/>
      <c r="T86" s="22"/>
      <c r="U86" s="33"/>
      <c r="V86" s="19"/>
      <c r="W86" s="19"/>
      <c r="X86" s="20"/>
      <c r="Y86" s="19"/>
      <c r="Z86" s="21"/>
      <c r="AA86" s="36" cm="1">
        <f t="array" ref="AA86">Vorlauf(Tabelle134[[#This Row],[Anbieter]])</f>
        <v>6</v>
      </c>
      <c r="AB86" s="37">
        <f>IFERROR(EDATE(Tabelle134[[#This Row],[Vertragsende]], -Tabelle134[[#This Row],[Vorlauf]]) + 1, "")</f>
        <v>46111</v>
      </c>
      <c r="AC86" s="37">
        <f>IFERROR(EDATE(Tabelle134[[#This Row],[Vertragsende]], -Tabelle134[[#This Row],[Vorlauf]] - 1) + 1, "")</f>
        <v>46082</v>
      </c>
    </row>
    <row r="87" spans="1:29" x14ac:dyDescent="0.25">
      <c r="A87" s="35">
        <f t="shared" si="3"/>
        <v>84</v>
      </c>
      <c r="B87" s="16" t="s">
        <v>108</v>
      </c>
      <c r="C87" s="16" t="s">
        <v>109</v>
      </c>
      <c r="D87" s="16" t="s">
        <v>336</v>
      </c>
      <c r="E87" s="16" t="s">
        <v>66</v>
      </c>
      <c r="F87" s="16" t="s">
        <v>337</v>
      </c>
      <c r="G87" s="18" t="s">
        <v>306</v>
      </c>
      <c r="H87" s="18"/>
      <c r="I87" s="32">
        <v>46395</v>
      </c>
      <c r="J87" s="32">
        <v>46365</v>
      </c>
      <c r="K87" s="32">
        <v>46296</v>
      </c>
      <c r="L87" s="16"/>
      <c r="M87" s="16"/>
      <c r="N87" s="18" t="s">
        <v>313</v>
      </c>
      <c r="O87" s="22" t="s">
        <v>328</v>
      </c>
      <c r="P87" s="22" t="s">
        <v>338</v>
      </c>
      <c r="Q87" s="22" t="s">
        <v>334</v>
      </c>
      <c r="R87" s="22"/>
      <c r="S87" s="22"/>
      <c r="T87" s="22"/>
      <c r="U87" s="33"/>
      <c r="V87" s="19"/>
      <c r="W87" s="19"/>
      <c r="X87" s="20"/>
      <c r="Y87" s="19"/>
      <c r="Z87" s="21"/>
      <c r="AA87" s="36" cm="1">
        <f t="array" ref="AA87">Vorlauf(Tabelle134[[#This Row],[Anbieter]])</f>
        <v>6</v>
      </c>
      <c r="AB87" s="37">
        <f>IFERROR(EDATE(Tabelle134[[#This Row],[Vertragsende]], -Tabelle134[[#This Row],[Vorlauf]]) + 1, "")</f>
        <v>46212</v>
      </c>
      <c r="AC87" s="37">
        <f>IFERROR(EDATE(Tabelle134[[#This Row],[Vertragsende]], -Tabelle134[[#This Row],[Vorlauf]] - 1) + 1, "")</f>
        <v>46182</v>
      </c>
    </row>
    <row r="88" spans="1:29" x14ac:dyDescent="0.25">
      <c r="A88" s="35">
        <f t="shared" si="3"/>
        <v>85</v>
      </c>
      <c r="B88" s="16" t="s">
        <v>111</v>
      </c>
      <c r="C88" s="16" t="s">
        <v>112</v>
      </c>
      <c r="D88" s="16" t="s">
        <v>336</v>
      </c>
      <c r="E88" s="16" t="s">
        <v>66</v>
      </c>
      <c r="F88" s="16" t="s">
        <v>337</v>
      </c>
      <c r="G88" s="18" t="s">
        <v>306</v>
      </c>
      <c r="H88" s="18" t="s">
        <v>306</v>
      </c>
      <c r="I88" s="32">
        <v>46405</v>
      </c>
      <c r="J88" s="32">
        <v>46375</v>
      </c>
      <c r="K88" s="32">
        <v>46296</v>
      </c>
      <c r="L88" s="16"/>
      <c r="M88" s="16"/>
      <c r="N88" s="18" t="s">
        <v>313</v>
      </c>
      <c r="O88" s="22" t="s">
        <v>328</v>
      </c>
      <c r="P88" s="22" t="s">
        <v>338</v>
      </c>
      <c r="Q88" s="22" t="s">
        <v>334</v>
      </c>
      <c r="R88" s="22"/>
      <c r="S88" s="22"/>
      <c r="T88" s="22"/>
      <c r="U88" s="33"/>
      <c r="V88" s="19"/>
      <c r="W88" s="19"/>
      <c r="X88" s="20"/>
      <c r="Y88" s="19"/>
      <c r="Z88" s="21"/>
      <c r="AA88" s="36" cm="1">
        <f t="array" ref="AA88">Vorlauf(Tabelle134[[#This Row],[Anbieter]])</f>
        <v>6</v>
      </c>
      <c r="AB88" s="37">
        <f>IFERROR(EDATE(Tabelle134[[#This Row],[Vertragsende]], -Tabelle134[[#This Row],[Vorlauf]]) + 1, "")</f>
        <v>46222</v>
      </c>
      <c r="AC88" s="37">
        <f>IFERROR(EDATE(Tabelle134[[#This Row],[Vertragsende]], -Tabelle134[[#This Row],[Vorlauf]] - 1) + 1, "")</f>
        <v>46192</v>
      </c>
    </row>
    <row r="89" spans="1:29" x14ac:dyDescent="0.25">
      <c r="A89" s="35">
        <f t="shared" si="3"/>
        <v>86</v>
      </c>
      <c r="B89" s="16" t="s">
        <v>247</v>
      </c>
      <c r="C89" s="16" t="s">
        <v>248</v>
      </c>
      <c r="D89" s="16" t="s">
        <v>336</v>
      </c>
      <c r="E89" s="16" t="s">
        <v>66</v>
      </c>
      <c r="F89" s="16" t="s">
        <v>337</v>
      </c>
      <c r="G89" s="18" t="s">
        <v>306</v>
      </c>
      <c r="H89" s="18" t="s">
        <v>306</v>
      </c>
      <c r="I89" s="32">
        <v>46443</v>
      </c>
      <c r="J89" s="32">
        <v>46413</v>
      </c>
      <c r="K89" s="32">
        <v>46327</v>
      </c>
      <c r="L89" s="16"/>
      <c r="M89" s="16"/>
      <c r="N89" s="18" t="s">
        <v>313</v>
      </c>
      <c r="O89" s="22" t="s">
        <v>328</v>
      </c>
      <c r="P89" s="22" t="s">
        <v>344</v>
      </c>
      <c r="Q89" s="22" t="s">
        <v>334</v>
      </c>
      <c r="R89" s="22"/>
      <c r="S89" s="22"/>
      <c r="T89" s="22"/>
      <c r="U89" s="33"/>
      <c r="V89" s="19"/>
      <c r="W89" s="19"/>
      <c r="X89" s="20"/>
      <c r="Y89" s="19"/>
      <c r="Z89" s="21"/>
      <c r="AA89" s="36" cm="1">
        <f t="array" ref="AA89">Vorlauf(Tabelle134[[#This Row],[Anbieter]])</f>
        <v>6</v>
      </c>
      <c r="AB89" s="37">
        <f>IFERROR(EDATE(Tabelle134[[#This Row],[Vertragsende]], -Tabelle134[[#This Row],[Vorlauf]]) + 1, "")</f>
        <v>46260</v>
      </c>
      <c r="AC89" s="37">
        <f>IFERROR(EDATE(Tabelle134[[#This Row],[Vertragsende]], -Tabelle134[[#This Row],[Vorlauf]] - 1) + 1, "")</f>
        <v>46229</v>
      </c>
    </row>
    <row r="90" spans="1:29" x14ac:dyDescent="0.25">
      <c r="A90" s="35">
        <f t="shared" si="3"/>
        <v>87</v>
      </c>
      <c r="B90" s="16" t="s">
        <v>250</v>
      </c>
      <c r="C90" s="16" t="s">
        <v>345</v>
      </c>
      <c r="D90" s="16" t="s">
        <v>336</v>
      </c>
      <c r="E90" s="16" t="s">
        <v>66</v>
      </c>
      <c r="F90" s="16" t="s">
        <v>337</v>
      </c>
      <c r="G90" s="18" t="s">
        <v>306</v>
      </c>
      <c r="H90" s="18" t="s">
        <v>306</v>
      </c>
      <c r="I90" s="32">
        <v>46443</v>
      </c>
      <c r="J90" s="32">
        <v>46413</v>
      </c>
      <c r="K90" s="32">
        <v>46327</v>
      </c>
      <c r="L90" s="16"/>
      <c r="M90" s="16"/>
      <c r="N90" s="18" t="s">
        <v>313</v>
      </c>
      <c r="O90" s="22" t="s">
        <v>328</v>
      </c>
      <c r="P90" s="22" t="s">
        <v>344</v>
      </c>
      <c r="Q90" s="22" t="s">
        <v>334</v>
      </c>
      <c r="R90" s="22"/>
      <c r="S90" s="22"/>
      <c r="T90" s="22"/>
      <c r="U90" s="33"/>
      <c r="V90" s="19"/>
      <c r="W90" s="19"/>
      <c r="X90" s="20"/>
      <c r="Y90" s="19"/>
      <c r="Z90" s="21"/>
      <c r="AA90" s="36" cm="1">
        <f t="array" ref="AA90">Vorlauf(Tabelle134[[#This Row],[Anbieter]])</f>
        <v>6</v>
      </c>
      <c r="AB90" s="37">
        <f>IFERROR(EDATE(Tabelle134[[#This Row],[Vertragsende]], -Tabelle134[[#This Row],[Vorlauf]]) + 1, "")</f>
        <v>46260</v>
      </c>
      <c r="AC90" s="37">
        <f>IFERROR(EDATE(Tabelle134[[#This Row],[Vertragsende]], -Tabelle134[[#This Row],[Vorlauf]] - 1) + 1, "")</f>
        <v>46229</v>
      </c>
    </row>
    <row r="91" spans="1:29" x14ac:dyDescent="0.25">
      <c r="A91" s="35">
        <f t="shared" si="3"/>
        <v>88</v>
      </c>
      <c r="B91" s="16" t="s">
        <v>256</v>
      </c>
      <c r="C91" s="16" t="s">
        <v>257</v>
      </c>
      <c r="D91" s="16" t="s">
        <v>336</v>
      </c>
      <c r="E91" s="16" t="s">
        <v>66</v>
      </c>
      <c r="F91" s="16" t="s">
        <v>337</v>
      </c>
      <c r="G91" s="18" t="s">
        <v>306</v>
      </c>
      <c r="H91" s="18" t="s">
        <v>306</v>
      </c>
      <c r="I91" s="32">
        <v>46462</v>
      </c>
      <c r="J91" s="32">
        <v>46435</v>
      </c>
      <c r="K91" s="32">
        <v>46357</v>
      </c>
      <c r="L91" s="16"/>
      <c r="M91" s="16"/>
      <c r="N91" s="18" t="s">
        <v>313</v>
      </c>
      <c r="O91" s="22" t="s">
        <v>328</v>
      </c>
      <c r="P91" s="22" t="s">
        <v>338</v>
      </c>
      <c r="Q91" s="22" t="s">
        <v>334</v>
      </c>
      <c r="R91" s="22"/>
      <c r="S91" s="22"/>
      <c r="T91" s="22"/>
      <c r="U91" s="33"/>
      <c r="V91" s="19"/>
      <c r="W91" s="19"/>
      <c r="X91" s="20"/>
      <c r="Y91" s="19"/>
      <c r="Z91" s="21"/>
      <c r="AA91" s="36" cm="1">
        <f t="array" ref="AA91">Vorlauf(Tabelle134[[#This Row],[Anbieter]])</f>
        <v>6</v>
      </c>
      <c r="AB91" s="37">
        <f>IFERROR(EDATE(Tabelle134[[#This Row],[Vertragsende]], -Tabelle134[[#This Row],[Vorlauf]]) + 1, "")</f>
        <v>46282</v>
      </c>
      <c r="AC91" s="37">
        <f>IFERROR(EDATE(Tabelle134[[#This Row],[Vertragsende]], -Tabelle134[[#This Row],[Vorlauf]] - 1) + 1, "")</f>
        <v>46251</v>
      </c>
    </row>
    <row r="92" spans="1:29" x14ac:dyDescent="0.25">
      <c r="A92" s="35">
        <f t="shared" si="3"/>
        <v>89</v>
      </c>
      <c r="B92" s="16" t="s">
        <v>258</v>
      </c>
      <c r="C92" s="16" t="s">
        <v>259</v>
      </c>
      <c r="D92" s="16" t="s">
        <v>336</v>
      </c>
      <c r="E92" s="16" t="s">
        <v>66</v>
      </c>
      <c r="F92" s="16" t="s">
        <v>337</v>
      </c>
      <c r="G92" s="18" t="s">
        <v>306</v>
      </c>
      <c r="H92" s="18" t="s">
        <v>306</v>
      </c>
      <c r="I92" s="32">
        <v>46512</v>
      </c>
      <c r="J92" s="32">
        <v>46483</v>
      </c>
      <c r="K92" s="32">
        <v>46419</v>
      </c>
      <c r="L92" s="16"/>
      <c r="M92" s="16"/>
      <c r="N92" s="18" t="s">
        <v>313</v>
      </c>
      <c r="O92" s="22" t="s">
        <v>328</v>
      </c>
      <c r="P92" s="22" t="s">
        <v>338</v>
      </c>
      <c r="Q92" s="22" t="s">
        <v>334</v>
      </c>
      <c r="R92" s="22"/>
      <c r="S92" s="22"/>
      <c r="T92" s="22"/>
      <c r="U92" s="33"/>
      <c r="V92" s="19"/>
      <c r="W92" s="19"/>
      <c r="X92" s="20"/>
      <c r="Y92" s="19"/>
      <c r="Z92" s="21"/>
      <c r="AA92" s="36" cm="1">
        <f t="array" ref="AA92">Vorlauf(Tabelle134[[#This Row],[Anbieter]])</f>
        <v>6</v>
      </c>
      <c r="AB92" s="37">
        <f>IFERROR(EDATE(Tabelle134[[#This Row],[Vertragsende]], -Tabelle134[[#This Row],[Vorlauf]]) + 1, "")</f>
        <v>46332</v>
      </c>
      <c r="AC92" s="37">
        <f>IFERROR(EDATE(Tabelle134[[#This Row],[Vertragsende]], -Tabelle134[[#This Row],[Vorlauf]] - 1) + 1, "")</f>
        <v>46301</v>
      </c>
    </row>
    <row r="93" spans="1:29" x14ac:dyDescent="0.25">
      <c r="A93" s="35">
        <f t="shared" si="3"/>
        <v>90</v>
      </c>
      <c r="B93" s="16" t="s">
        <v>261</v>
      </c>
      <c r="C93" s="16" t="s">
        <v>262</v>
      </c>
      <c r="D93" s="16" t="s">
        <v>336</v>
      </c>
      <c r="E93" s="16" t="s">
        <v>66</v>
      </c>
      <c r="F93" s="16" t="s">
        <v>337</v>
      </c>
      <c r="G93" s="18" t="s">
        <v>306</v>
      </c>
      <c r="H93" s="18" t="s">
        <v>306</v>
      </c>
      <c r="I93" s="32">
        <v>46517</v>
      </c>
      <c r="J93" s="32">
        <v>46488</v>
      </c>
      <c r="K93" s="32">
        <v>46419</v>
      </c>
      <c r="L93" s="16"/>
      <c r="M93" s="16"/>
      <c r="N93" s="18" t="s">
        <v>313</v>
      </c>
      <c r="O93" s="22" t="s">
        <v>328</v>
      </c>
      <c r="P93" s="22" t="s">
        <v>338</v>
      </c>
      <c r="Q93" s="22" t="s">
        <v>334</v>
      </c>
      <c r="R93" s="22"/>
      <c r="S93" s="22"/>
      <c r="T93" s="22"/>
      <c r="U93" s="33"/>
      <c r="V93" s="19"/>
      <c r="W93" s="19"/>
      <c r="X93" s="20"/>
      <c r="Y93" s="19"/>
      <c r="Z93" s="21"/>
      <c r="AA93" s="36" cm="1">
        <f t="array" ref="AA93">Vorlauf(Tabelle134[[#This Row],[Anbieter]])</f>
        <v>6</v>
      </c>
      <c r="AB93" s="37">
        <f>IFERROR(EDATE(Tabelle134[[#This Row],[Vertragsende]], -Tabelle134[[#This Row],[Vorlauf]]) + 1, "")</f>
        <v>46337</v>
      </c>
      <c r="AC93" s="37">
        <f>IFERROR(EDATE(Tabelle134[[#This Row],[Vertragsende]], -Tabelle134[[#This Row],[Vorlauf]] - 1) + 1, "")</f>
        <v>46306</v>
      </c>
    </row>
    <row r="94" spans="1:29" x14ac:dyDescent="0.25">
      <c r="A94" s="35">
        <f t="shared" si="3"/>
        <v>91</v>
      </c>
      <c r="B94" s="16" t="s">
        <v>114</v>
      </c>
      <c r="C94" s="16" t="s">
        <v>115</v>
      </c>
      <c r="D94" s="16" t="s">
        <v>336</v>
      </c>
      <c r="E94" s="16" t="s">
        <v>66</v>
      </c>
      <c r="F94" s="16" t="s">
        <v>337</v>
      </c>
      <c r="G94" s="18" t="s">
        <v>306</v>
      </c>
      <c r="H94" s="18"/>
      <c r="I94" s="32">
        <v>46592</v>
      </c>
      <c r="J94" s="32">
        <v>46563</v>
      </c>
      <c r="K94" s="32">
        <v>46478</v>
      </c>
      <c r="L94" s="16"/>
      <c r="M94" s="16"/>
      <c r="N94" s="18" t="s">
        <v>313</v>
      </c>
      <c r="O94" s="22" t="s">
        <v>328</v>
      </c>
      <c r="P94" s="22" t="s">
        <v>338</v>
      </c>
      <c r="Q94" s="22" t="s">
        <v>334</v>
      </c>
      <c r="R94" s="22"/>
      <c r="S94" s="22"/>
      <c r="T94" s="22"/>
      <c r="U94" s="33"/>
      <c r="V94" s="19"/>
      <c r="W94" s="19"/>
      <c r="X94" s="20"/>
      <c r="Y94" s="19"/>
      <c r="Z94" s="21"/>
      <c r="AA94" s="36" cm="1">
        <f t="array" ref="AA94">Vorlauf(Tabelle134[[#This Row],[Anbieter]])</f>
        <v>6</v>
      </c>
      <c r="AB94" s="37">
        <f>IFERROR(EDATE(Tabelle134[[#This Row],[Vertragsende]], -Tabelle134[[#This Row],[Vorlauf]]) + 1, "")</f>
        <v>46412</v>
      </c>
      <c r="AC94" s="37">
        <f>IFERROR(EDATE(Tabelle134[[#This Row],[Vertragsende]], -Tabelle134[[#This Row],[Vorlauf]] - 1) + 1, "")</f>
        <v>46381</v>
      </c>
    </row>
    <row r="95" spans="1:29" x14ac:dyDescent="0.25">
      <c r="A95" s="35">
        <f t="shared" si="3"/>
        <v>92</v>
      </c>
      <c r="B95" s="16" t="s">
        <v>117</v>
      </c>
      <c r="C95" s="16" t="s">
        <v>118</v>
      </c>
      <c r="D95" s="16" t="s">
        <v>336</v>
      </c>
      <c r="E95" s="16" t="s">
        <v>66</v>
      </c>
      <c r="F95" s="16" t="s">
        <v>337</v>
      </c>
      <c r="G95" s="18" t="s">
        <v>306</v>
      </c>
      <c r="H95" s="18"/>
      <c r="I95" s="32">
        <v>46699</v>
      </c>
      <c r="J95" s="32">
        <v>46669</v>
      </c>
      <c r="K95" s="32">
        <v>46600</v>
      </c>
      <c r="L95" s="16"/>
      <c r="M95" s="16"/>
      <c r="N95" s="18" t="s">
        <v>313</v>
      </c>
      <c r="O95" s="22" t="s">
        <v>328</v>
      </c>
      <c r="P95" s="22" t="s">
        <v>338</v>
      </c>
      <c r="Q95" s="22" t="s">
        <v>334</v>
      </c>
      <c r="R95" s="22"/>
      <c r="S95" s="22"/>
      <c r="T95" s="22"/>
      <c r="U95" s="33"/>
      <c r="V95" s="19"/>
      <c r="W95" s="19"/>
      <c r="X95" s="20"/>
      <c r="Y95" s="19"/>
      <c r="Z95" s="21"/>
      <c r="AA95" s="36" cm="1">
        <f t="array" ref="AA95">Vorlauf(Tabelle134[[#This Row],[Anbieter]])</f>
        <v>6</v>
      </c>
      <c r="AB95" s="37">
        <f>IFERROR(EDATE(Tabelle134[[#This Row],[Vertragsende]], -Tabelle134[[#This Row],[Vorlauf]]) + 1, "")</f>
        <v>46516</v>
      </c>
      <c r="AC95" s="37">
        <f>IFERROR(EDATE(Tabelle134[[#This Row],[Vertragsende]], -Tabelle134[[#This Row],[Vorlauf]] - 1) + 1, "")</f>
        <v>46486</v>
      </c>
    </row>
  </sheetData>
  <dataValidations count="2">
    <dataValidation type="list" allowBlank="1" showInputMessage="1" showErrorMessage="1" sqref="N4:N95" xr:uid="{FD37F443-1D95-43D2-90D3-D1843C89237A}">
      <formula1>"O,P"</formula1>
    </dataValidation>
    <dataValidation type="list" allowBlank="1" showInputMessage="1" showErrorMessage="1" sqref="G4:H95" xr:uid="{87765F27-777D-44B4-BD88-3CC0916B6156}">
      <formula1>"X"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753A-B6D8-48BB-9A26-ED2A144F882D}">
  <dimension ref="A1:AC51"/>
  <sheetViews>
    <sheetView showGridLines="0" workbookViewId="0">
      <selection activeCell="A4" sqref="A4"/>
    </sheetView>
  </sheetViews>
  <sheetFormatPr baseColWidth="10" defaultRowHeight="13.5" x14ac:dyDescent="0.25"/>
  <cols>
    <col min="1" max="1" width="5.5" style="15" customWidth="1"/>
    <col min="2" max="2" width="12.625" style="15" customWidth="1"/>
    <col min="3" max="3" width="16" style="15" customWidth="1"/>
    <col min="4" max="4" width="11.25" style="15" customWidth="1"/>
    <col min="5" max="5" width="9" style="15" customWidth="1"/>
    <col min="6" max="6" width="6.375" style="15" customWidth="1"/>
    <col min="7" max="7" width="6.875" style="15" bestFit="1" customWidth="1"/>
    <col min="8" max="8" width="6.375" style="15" bestFit="1" customWidth="1"/>
    <col min="9" max="9" width="11.25" style="15" customWidth="1"/>
    <col min="10" max="11" width="6.875" style="15" bestFit="1" customWidth="1"/>
    <col min="12" max="12" width="10.125" style="15" customWidth="1"/>
    <col min="13" max="13" width="11" style="15"/>
    <col min="14" max="14" width="5.5" style="15" customWidth="1"/>
    <col min="15" max="15" width="8.75" style="15" customWidth="1"/>
    <col min="16" max="16" width="8.125" style="15" customWidth="1"/>
    <col min="17" max="17" width="9.625" style="15" customWidth="1"/>
    <col min="18" max="18" width="9.75" style="15" customWidth="1"/>
    <col min="19" max="19" width="9.625" style="15" customWidth="1"/>
    <col min="20" max="20" width="9.125" style="15" customWidth="1"/>
    <col min="21" max="21" width="7.875" style="15" customWidth="1"/>
    <col min="22" max="22" width="8.875" style="15" bestFit="1" customWidth="1"/>
    <col min="23" max="23" width="39.75" style="15" bestFit="1" customWidth="1"/>
    <col min="24" max="24" width="11.75" style="15" bestFit="1" customWidth="1"/>
    <col min="25" max="25" width="11" style="15"/>
    <col min="26" max="26" width="7.625" style="15" customWidth="1"/>
    <col min="27" max="27" width="8.875" style="15" bestFit="1" customWidth="1"/>
    <col min="28" max="28" width="8.625" style="15" bestFit="1" customWidth="1"/>
    <col min="29" max="16384" width="11" style="15"/>
  </cols>
  <sheetData>
    <row r="1" spans="1:29" s="30" customFormat="1" ht="26.25" customHeight="1" x14ac:dyDescent="0.25">
      <c r="A1" s="28" t="s">
        <v>324</v>
      </c>
      <c r="B1" s="29"/>
      <c r="C1" s="29" t="str" cm="1">
        <f t="array" ref="C1">Fullname(Kunde!$B$4,Kunde!$B$5) &amp; ", " &amp; Kunde!$B$7</f>
        <v>Friedrich von Lien AG, 27404 Zeven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s="24" customFormat="1" ht="15" x14ac:dyDescent="0.25">
      <c r="A2" s="23" t="s">
        <v>321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5" t="s">
        <v>322</v>
      </c>
      <c r="P2" s="23"/>
      <c r="Q2" s="23"/>
      <c r="R2" s="23"/>
      <c r="S2" s="23"/>
      <c r="T2" s="27"/>
      <c r="U2" s="23" t="s">
        <v>323</v>
      </c>
      <c r="V2" s="27"/>
      <c r="W2" s="26"/>
      <c r="X2" s="23"/>
      <c r="Y2" s="23"/>
      <c r="Z2" s="23"/>
      <c r="AA2" s="23"/>
      <c r="AB2" s="23"/>
      <c r="AC2" s="27"/>
    </row>
    <row r="3" spans="1:29" s="17" customFormat="1" ht="36" customHeight="1" x14ac:dyDescent="0.25">
      <c r="A3" s="17" t="s">
        <v>55</v>
      </c>
      <c r="B3" s="17" t="s">
        <v>56</v>
      </c>
      <c r="C3" s="17" t="s">
        <v>301</v>
      </c>
      <c r="D3" s="17" t="s">
        <v>302</v>
      </c>
      <c r="E3" s="17" t="s">
        <v>303</v>
      </c>
      <c r="F3" s="17" t="s">
        <v>304</v>
      </c>
      <c r="G3" s="17" t="s">
        <v>305</v>
      </c>
      <c r="H3" s="17" t="s">
        <v>57</v>
      </c>
      <c r="I3" s="17" t="s">
        <v>307</v>
      </c>
      <c r="J3" s="17" t="s">
        <v>308</v>
      </c>
      <c r="K3" s="17" t="s">
        <v>309</v>
      </c>
      <c r="L3" s="17" t="s">
        <v>310</v>
      </c>
      <c r="M3" s="17" t="s">
        <v>311</v>
      </c>
      <c r="N3" s="17" t="s">
        <v>312</v>
      </c>
      <c r="O3" s="17" t="s">
        <v>58</v>
      </c>
      <c r="P3" s="17" t="s">
        <v>315</v>
      </c>
      <c r="Q3" s="17" t="s">
        <v>359</v>
      </c>
      <c r="R3" s="17" t="s">
        <v>60</v>
      </c>
      <c r="S3" s="17" t="s">
        <v>61</v>
      </c>
      <c r="T3" s="17" t="s">
        <v>62</v>
      </c>
      <c r="U3" s="17" t="s">
        <v>314</v>
      </c>
      <c r="V3" s="17" t="s">
        <v>316</v>
      </c>
      <c r="W3" s="17" t="s">
        <v>317</v>
      </c>
      <c r="X3" s="17" t="s">
        <v>318</v>
      </c>
      <c r="Y3" s="17" t="s">
        <v>319</v>
      </c>
      <c r="Z3" s="17" t="s">
        <v>320</v>
      </c>
      <c r="AA3" s="17" t="s">
        <v>325</v>
      </c>
      <c r="AB3" s="17" t="s">
        <v>326</v>
      </c>
      <c r="AC3" s="34" t="s">
        <v>327</v>
      </c>
    </row>
    <row r="4" spans="1:29" x14ac:dyDescent="0.25">
      <c r="A4" s="35">
        <f t="shared" ref="A4" si="0">ROW()-3</f>
        <v>1</v>
      </c>
      <c r="B4" s="16" t="s">
        <v>263</v>
      </c>
      <c r="C4" s="16" t="s">
        <v>264</v>
      </c>
      <c r="D4" s="16" t="s">
        <v>336</v>
      </c>
      <c r="E4" s="16" t="s">
        <v>66</v>
      </c>
      <c r="F4" s="16" t="s">
        <v>337</v>
      </c>
      <c r="G4" s="18"/>
      <c r="H4" s="18" t="s">
        <v>306</v>
      </c>
      <c r="I4" s="32">
        <v>46629</v>
      </c>
      <c r="J4" s="32">
        <v>46599</v>
      </c>
      <c r="K4" s="32">
        <v>46508</v>
      </c>
      <c r="L4" s="16"/>
      <c r="M4" s="16"/>
      <c r="N4" s="18" t="s">
        <v>313</v>
      </c>
      <c r="O4" s="22" t="s">
        <v>328</v>
      </c>
      <c r="P4" s="22" t="s">
        <v>360</v>
      </c>
      <c r="Q4" s="22" t="s">
        <v>334</v>
      </c>
      <c r="R4" s="22"/>
      <c r="S4" s="22"/>
      <c r="T4" s="22"/>
      <c r="U4" s="33"/>
      <c r="V4" s="19"/>
      <c r="W4" s="19"/>
      <c r="X4" s="20"/>
      <c r="Y4" s="19"/>
      <c r="Z4" s="21"/>
      <c r="AA4" s="31" cm="1">
        <f t="array" ref="AA4">Vorlauf(Tabelle1345[[#This Row],[Anbieter]])</f>
        <v>6</v>
      </c>
      <c r="AB4" s="37">
        <f>EDATE(Tabelle1345[[#This Row],[Vertragsende]], -Tabelle1345[[#This Row],[Vorlauf]]) + 1</f>
        <v>46447</v>
      </c>
      <c r="AC4" s="37">
        <f>EDATE(Tabelle1345[[#This Row],[Vertragsende]], -Tabelle1345[[#This Row],[Vorlauf]] - 1) + 1</f>
        <v>46418</v>
      </c>
    </row>
    <row r="5" spans="1:29" x14ac:dyDescent="0.25">
      <c r="A5" s="35">
        <f t="shared" ref="A5:A51" si="1">ROW()-3</f>
        <v>2</v>
      </c>
      <c r="B5" s="16" t="s">
        <v>267</v>
      </c>
      <c r="C5" s="16" t="s">
        <v>268</v>
      </c>
      <c r="D5" s="16" t="s">
        <v>336</v>
      </c>
      <c r="E5" s="16" t="s">
        <v>66</v>
      </c>
      <c r="F5" s="16" t="s">
        <v>337</v>
      </c>
      <c r="G5" s="18"/>
      <c r="H5" s="18" t="s">
        <v>306</v>
      </c>
      <c r="I5" s="32">
        <v>46629</v>
      </c>
      <c r="J5" s="32">
        <v>46599</v>
      </c>
      <c r="K5" s="32">
        <v>46508</v>
      </c>
      <c r="L5" s="16"/>
      <c r="M5" s="16"/>
      <c r="N5" s="18" t="s">
        <v>313</v>
      </c>
      <c r="O5" s="22" t="s">
        <v>328</v>
      </c>
      <c r="P5" s="22" t="s">
        <v>360</v>
      </c>
      <c r="Q5" s="22"/>
      <c r="R5" s="22"/>
      <c r="S5" s="22"/>
      <c r="T5" s="22"/>
      <c r="U5" s="33"/>
      <c r="V5" s="19"/>
      <c r="W5" s="19"/>
      <c r="X5" s="20"/>
      <c r="Y5" s="19"/>
      <c r="Z5" s="21"/>
      <c r="AA5" s="31" cm="1">
        <f t="array" ref="AA5">Vorlauf(Tabelle1345[[#This Row],[Anbieter]])</f>
        <v>6</v>
      </c>
      <c r="AB5" s="37">
        <f>EDATE(Tabelle1345[[#This Row],[Vertragsende]], -Tabelle1345[[#This Row],[Vorlauf]]) + 1</f>
        <v>46447</v>
      </c>
      <c r="AC5" s="37">
        <f>EDATE(Tabelle1345[[#This Row],[Vertragsende]], -Tabelle1345[[#This Row],[Vorlauf]] - 1) + 1</f>
        <v>46418</v>
      </c>
    </row>
    <row r="6" spans="1:29" x14ac:dyDescent="0.25">
      <c r="A6" s="35">
        <f t="shared" si="1"/>
        <v>3</v>
      </c>
      <c r="B6" s="16" t="s">
        <v>269</v>
      </c>
      <c r="C6" s="16" t="s">
        <v>270</v>
      </c>
      <c r="D6" s="16" t="s">
        <v>336</v>
      </c>
      <c r="E6" s="16" t="s">
        <v>66</v>
      </c>
      <c r="F6" s="16" t="s">
        <v>337</v>
      </c>
      <c r="G6" s="18"/>
      <c r="H6" s="18"/>
      <c r="I6" s="32">
        <v>46629</v>
      </c>
      <c r="J6" s="32">
        <v>46599</v>
      </c>
      <c r="K6" s="32">
        <v>46508</v>
      </c>
      <c r="L6" s="16"/>
      <c r="M6" s="16"/>
      <c r="N6" s="18" t="s">
        <v>313</v>
      </c>
      <c r="O6" s="22" t="s">
        <v>328</v>
      </c>
      <c r="P6" s="22" t="s">
        <v>360</v>
      </c>
      <c r="Q6" s="22"/>
      <c r="R6" s="22"/>
      <c r="S6" s="22"/>
      <c r="T6" s="22"/>
      <c r="U6" s="33"/>
      <c r="V6" s="19"/>
      <c r="W6" s="19"/>
      <c r="X6" s="20"/>
      <c r="Y6" s="19"/>
      <c r="Z6" s="21"/>
      <c r="AA6" s="31" cm="1">
        <f t="array" ref="AA6">Vorlauf(Tabelle1345[[#This Row],[Anbieter]])</f>
        <v>6</v>
      </c>
      <c r="AB6" s="37">
        <f>EDATE(Tabelle1345[[#This Row],[Vertragsende]], -Tabelle1345[[#This Row],[Vorlauf]]) + 1</f>
        <v>46447</v>
      </c>
      <c r="AC6" s="37">
        <f>EDATE(Tabelle1345[[#This Row],[Vertragsende]], -Tabelle1345[[#This Row],[Vorlauf]] - 1) + 1</f>
        <v>46418</v>
      </c>
    </row>
    <row r="7" spans="1:29" x14ac:dyDescent="0.25">
      <c r="A7" s="35">
        <f t="shared" si="1"/>
        <v>4</v>
      </c>
      <c r="B7" s="16" t="s">
        <v>347</v>
      </c>
      <c r="C7" s="16" t="s">
        <v>348</v>
      </c>
      <c r="D7" s="16" t="s">
        <v>336</v>
      </c>
      <c r="E7" s="16" t="s">
        <v>66</v>
      </c>
      <c r="F7" s="16" t="s">
        <v>337</v>
      </c>
      <c r="G7" s="18"/>
      <c r="H7" s="18" t="s">
        <v>306</v>
      </c>
      <c r="I7" s="32">
        <v>46629</v>
      </c>
      <c r="J7" s="32">
        <v>46599</v>
      </c>
      <c r="K7" s="32">
        <v>46508</v>
      </c>
      <c r="L7" s="16"/>
      <c r="M7" s="16"/>
      <c r="N7" s="18" t="s">
        <v>313</v>
      </c>
      <c r="O7" s="22" t="s">
        <v>328</v>
      </c>
      <c r="P7" s="22" t="s">
        <v>360</v>
      </c>
      <c r="Q7" s="22"/>
      <c r="R7" s="22"/>
      <c r="S7" s="22"/>
      <c r="T7" s="22"/>
      <c r="U7" s="33"/>
      <c r="V7" s="19"/>
      <c r="W7" s="19"/>
      <c r="X7" s="20"/>
      <c r="Y7" s="19"/>
      <c r="Z7" s="21"/>
      <c r="AA7" s="31" cm="1">
        <f t="array" ref="AA7">Vorlauf(Tabelle1345[[#This Row],[Anbieter]])</f>
        <v>6</v>
      </c>
      <c r="AB7" s="37">
        <f>EDATE(Tabelle1345[[#This Row],[Vertragsende]], -Tabelle1345[[#This Row],[Vorlauf]]) + 1</f>
        <v>46447</v>
      </c>
      <c r="AC7" s="37">
        <f>EDATE(Tabelle1345[[#This Row],[Vertragsende]], -Tabelle1345[[#This Row],[Vorlauf]] - 1) + 1</f>
        <v>46418</v>
      </c>
    </row>
    <row r="8" spans="1:29" x14ac:dyDescent="0.25">
      <c r="A8" s="35">
        <f t="shared" si="1"/>
        <v>5</v>
      </c>
      <c r="B8" s="16" t="s">
        <v>356</v>
      </c>
      <c r="C8" s="16" t="s">
        <v>361</v>
      </c>
      <c r="D8" s="16" t="s">
        <v>336</v>
      </c>
      <c r="E8" s="16" t="s">
        <v>66</v>
      </c>
      <c r="F8" s="16" t="s">
        <v>337</v>
      </c>
      <c r="G8" s="18"/>
      <c r="H8" s="18" t="s">
        <v>306</v>
      </c>
      <c r="I8" s="32">
        <v>46629</v>
      </c>
      <c r="J8" s="32">
        <v>46599</v>
      </c>
      <c r="K8" s="32">
        <v>46508</v>
      </c>
      <c r="L8" s="16"/>
      <c r="M8" s="16"/>
      <c r="N8" s="18" t="s">
        <v>313</v>
      </c>
      <c r="O8" s="22" t="s">
        <v>328</v>
      </c>
      <c r="P8" s="22" t="s">
        <v>362</v>
      </c>
      <c r="Q8" s="22"/>
      <c r="R8" s="22"/>
      <c r="S8" s="22"/>
      <c r="T8" s="22"/>
      <c r="U8" s="33"/>
      <c r="V8" s="19"/>
      <c r="W8" s="19"/>
      <c r="X8" s="20"/>
      <c r="Y8" s="19"/>
      <c r="Z8" s="21"/>
      <c r="AA8" s="31" cm="1">
        <f t="array" ref="AA8">Vorlauf(Tabelle1345[[#This Row],[Anbieter]])</f>
        <v>6</v>
      </c>
      <c r="AB8" s="37">
        <f>EDATE(Tabelle1345[[#This Row],[Vertragsende]], -Tabelle1345[[#This Row],[Vorlauf]]) + 1</f>
        <v>46447</v>
      </c>
      <c r="AC8" s="37">
        <f>EDATE(Tabelle1345[[#This Row],[Vertragsende]], -Tabelle1345[[#This Row],[Vorlauf]] - 1) + 1</f>
        <v>46418</v>
      </c>
    </row>
    <row r="9" spans="1:29" x14ac:dyDescent="0.25">
      <c r="A9" s="35">
        <f t="shared" si="1"/>
        <v>6</v>
      </c>
      <c r="B9" s="16" t="s">
        <v>76</v>
      </c>
      <c r="C9" s="16" t="s">
        <v>77</v>
      </c>
      <c r="D9" s="16" t="s">
        <v>336</v>
      </c>
      <c r="E9" s="16" t="s">
        <v>66</v>
      </c>
      <c r="F9" s="16" t="s">
        <v>337</v>
      </c>
      <c r="G9" s="18"/>
      <c r="H9" s="18" t="s">
        <v>306</v>
      </c>
      <c r="I9" s="32">
        <v>46682</v>
      </c>
      <c r="J9" s="32">
        <v>46653</v>
      </c>
      <c r="K9" s="32">
        <v>46569</v>
      </c>
      <c r="L9" s="16"/>
      <c r="M9" s="16"/>
      <c r="N9" s="18" t="s">
        <v>313</v>
      </c>
      <c r="O9" s="22" t="s">
        <v>328</v>
      </c>
      <c r="P9" s="22" t="s">
        <v>362</v>
      </c>
      <c r="Q9" s="22"/>
      <c r="R9" s="22"/>
      <c r="S9" s="22"/>
      <c r="T9" s="22"/>
      <c r="U9" s="33"/>
      <c r="V9" s="19"/>
      <c r="W9" s="19"/>
      <c r="X9" s="20"/>
      <c r="Y9" s="19"/>
      <c r="Z9" s="21"/>
      <c r="AA9" s="31" cm="1">
        <f t="array" ref="AA9">Vorlauf(Tabelle1345[[#This Row],[Anbieter]])</f>
        <v>6</v>
      </c>
      <c r="AB9" s="37">
        <f>EDATE(Tabelle1345[[#This Row],[Vertragsende]], -Tabelle1345[[#This Row],[Vorlauf]]) + 1</f>
        <v>46500</v>
      </c>
      <c r="AC9" s="37">
        <f>EDATE(Tabelle1345[[#This Row],[Vertragsende]], -Tabelle1345[[#This Row],[Vorlauf]] - 1) + 1</f>
        <v>46469</v>
      </c>
    </row>
    <row r="10" spans="1:29" x14ac:dyDescent="0.25">
      <c r="A10" s="35">
        <f t="shared" si="1"/>
        <v>7</v>
      </c>
      <c r="B10" s="16" t="s">
        <v>119</v>
      </c>
      <c r="C10" s="16" t="s">
        <v>363</v>
      </c>
      <c r="D10" s="16" t="s">
        <v>336</v>
      </c>
      <c r="E10" s="16" t="s">
        <v>66</v>
      </c>
      <c r="F10" s="16" t="s">
        <v>337</v>
      </c>
      <c r="G10" s="18"/>
      <c r="H10" s="18"/>
      <c r="I10" s="32">
        <v>46682</v>
      </c>
      <c r="J10" s="32">
        <v>46653</v>
      </c>
      <c r="K10" s="32">
        <v>46569</v>
      </c>
      <c r="L10" s="16"/>
      <c r="M10" s="16"/>
      <c r="N10" s="18" t="s">
        <v>313</v>
      </c>
      <c r="O10" s="22" t="s">
        <v>328</v>
      </c>
      <c r="P10" s="22" t="s">
        <v>161</v>
      </c>
      <c r="Q10" s="22"/>
      <c r="R10" s="22"/>
      <c r="S10" s="22"/>
      <c r="T10" s="22"/>
      <c r="U10" s="33"/>
      <c r="V10" s="19"/>
      <c r="W10" s="19"/>
      <c r="X10" s="20"/>
      <c r="Y10" s="19"/>
      <c r="Z10" s="21"/>
      <c r="AA10" s="31" cm="1">
        <f t="array" ref="AA10">Vorlauf(Tabelle1345[[#This Row],[Anbieter]])</f>
        <v>6</v>
      </c>
      <c r="AB10" s="37">
        <f>EDATE(Tabelle1345[[#This Row],[Vertragsende]], -Tabelle1345[[#This Row],[Vorlauf]]) + 1</f>
        <v>46500</v>
      </c>
      <c r="AC10" s="37">
        <f>EDATE(Tabelle1345[[#This Row],[Vertragsende]], -Tabelle1345[[#This Row],[Vorlauf]] - 1) + 1</f>
        <v>46469</v>
      </c>
    </row>
    <row r="11" spans="1:29" x14ac:dyDescent="0.25">
      <c r="A11" s="35">
        <f t="shared" si="1"/>
        <v>8</v>
      </c>
      <c r="B11" s="16" t="s">
        <v>121</v>
      </c>
      <c r="C11" s="16" t="s">
        <v>122</v>
      </c>
      <c r="D11" s="16" t="s">
        <v>336</v>
      </c>
      <c r="E11" s="16" t="s">
        <v>66</v>
      </c>
      <c r="F11" s="16" t="s">
        <v>337</v>
      </c>
      <c r="G11" s="18"/>
      <c r="H11" s="18"/>
      <c r="I11" s="32">
        <v>46682</v>
      </c>
      <c r="J11" s="32">
        <v>46653</v>
      </c>
      <c r="K11" s="32">
        <v>46569</v>
      </c>
      <c r="L11" s="16"/>
      <c r="M11" s="16"/>
      <c r="N11" s="18" t="s">
        <v>313</v>
      </c>
      <c r="O11" s="22" t="s">
        <v>328</v>
      </c>
      <c r="P11" s="22" t="s">
        <v>161</v>
      </c>
      <c r="Q11" s="22"/>
      <c r="R11" s="22"/>
      <c r="S11" s="22"/>
      <c r="T11" s="22"/>
      <c r="U11" s="33"/>
      <c r="V11" s="19"/>
      <c r="W11" s="19"/>
      <c r="X11" s="20"/>
      <c r="Y11" s="19"/>
      <c r="Z11" s="21"/>
      <c r="AA11" s="31" cm="1">
        <f t="array" ref="AA11">Vorlauf(Tabelle1345[[#This Row],[Anbieter]])</f>
        <v>6</v>
      </c>
      <c r="AB11" s="37">
        <f>EDATE(Tabelle1345[[#This Row],[Vertragsende]], -Tabelle1345[[#This Row],[Vorlauf]]) + 1</f>
        <v>46500</v>
      </c>
      <c r="AC11" s="37">
        <f>EDATE(Tabelle1345[[#This Row],[Vertragsende]], -Tabelle1345[[#This Row],[Vorlauf]] - 1) + 1</f>
        <v>46469</v>
      </c>
    </row>
    <row r="12" spans="1:29" x14ac:dyDescent="0.25">
      <c r="A12" s="35">
        <f t="shared" si="1"/>
        <v>9</v>
      </c>
      <c r="B12" s="16" t="s">
        <v>123</v>
      </c>
      <c r="C12" s="16" t="s">
        <v>124</v>
      </c>
      <c r="D12" s="16" t="s">
        <v>336</v>
      </c>
      <c r="E12" s="16" t="s">
        <v>66</v>
      </c>
      <c r="F12" s="16" t="s">
        <v>337</v>
      </c>
      <c r="G12" s="18"/>
      <c r="H12" s="18"/>
      <c r="I12" s="32">
        <v>46682</v>
      </c>
      <c r="J12" s="32">
        <v>46653</v>
      </c>
      <c r="K12" s="32">
        <v>46569</v>
      </c>
      <c r="L12" s="16"/>
      <c r="M12" s="16"/>
      <c r="N12" s="18" t="s">
        <v>313</v>
      </c>
      <c r="O12" s="22" t="s">
        <v>328</v>
      </c>
      <c r="P12" s="22" t="s">
        <v>161</v>
      </c>
      <c r="Q12" s="22"/>
      <c r="R12" s="22"/>
      <c r="S12" s="22"/>
      <c r="T12" s="22"/>
      <c r="U12" s="33"/>
      <c r="V12" s="19"/>
      <c r="W12" s="19"/>
      <c r="X12" s="20"/>
      <c r="Y12" s="19"/>
      <c r="Z12" s="21"/>
      <c r="AA12" s="31" cm="1">
        <f t="array" ref="AA12">Vorlauf(Tabelle1345[[#This Row],[Anbieter]])</f>
        <v>6</v>
      </c>
      <c r="AB12" s="37">
        <f>EDATE(Tabelle1345[[#This Row],[Vertragsende]], -Tabelle1345[[#This Row],[Vorlauf]]) + 1</f>
        <v>46500</v>
      </c>
      <c r="AC12" s="37">
        <f>EDATE(Tabelle1345[[#This Row],[Vertragsende]], -Tabelle1345[[#This Row],[Vorlauf]] - 1) + 1</f>
        <v>46469</v>
      </c>
    </row>
    <row r="13" spans="1:29" x14ac:dyDescent="0.25">
      <c r="A13" s="35">
        <f t="shared" si="1"/>
        <v>10</v>
      </c>
      <c r="B13" s="16" t="s">
        <v>125</v>
      </c>
      <c r="C13" s="16" t="s">
        <v>126</v>
      </c>
      <c r="D13" s="16" t="s">
        <v>336</v>
      </c>
      <c r="E13" s="16" t="s">
        <v>66</v>
      </c>
      <c r="F13" s="16" t="s">
        <v>337</v>
      </c>
      <c r="G13" s="18"/>
      <c r="H13" s="18"/>
      <c r="I13" s="32">
        <v>46682</v>
      </c>
      <c r="J13" s="32">
        <v>46653</v>
      </c>
      <c r="K13" s="32">
        <v>46569</v>
      </c>
      <c r="L13" s="16"/>
      <c r="M13" s="16"/>
      <c r="N13" s="18" t="s">
        <v>313</v>
      </c>
      <c r="O13" s="22" t="s">
        <v>328</v>
      </c>
      <c r="P13" s="22" t="s">
        <v>161</v>
      </c>
      <c r="Q13" s="22"/>
      <c r="R13" s="22"/>
      <c r="S13" s="22"/>
      <c r="T13" s="22"/>
      <c r="U13" s="33"/>
      <c r="V13" s="19"/>
      <c r="W13" s="19"/>
      <c r="X13" s="20"/>
      <c r="Y13" s="19"/>
      <c r="Z13" s="21"/>
      <c r="AA13" s="31" cm="1">
        <f t="array" ref="AA13">Vorlauf(Tabelle1345[[#This Row],[Anbieter]])</f>
        <v>6</v>
      </c>
      <c r="AB13" s="37">
        <f>EDATE(Tabelle1345[[#This Row],[Vertragsende]], -Tabelle1345[[#This Row],[Vorlauf]]) + 1</f>
        <v>46500</v>
      </c>
      <c r="AC13" s="37">
        <f>EDATE(Tabelle1345[[#This Row],[Vertragsende]], -Tabelle1345[[#This Row],[Vorlauf]] - 1) + 1</f>
        <v>46469</v>
      </c>
    </row>
    <row r="14" spans="1:29" x14ac:dyDescent="0.25">
      <c r="A14" s="35">
        <f t="shared" si="1"/>
        <v>11</v>
      </c>
      <c r="B14" s="16" t="s">
        <v>127</v>
      </c>
      <c r="C14" s="16" t="s">
        <v>128</v>
      </c>
      <c r="D14" s="16" t="s">
        <v>336</v>
      </c>
      <c r="E14" s="16" t="s">
        <v>66</v>
      </c>
      <c r="F14" s="16" t="s">
        <v>337</v>
      </c>
      <c r="G14" s="18"/>
      <c r="H14" s="18"/>
      <c r="I14" s="32">
        <v>46682</v>
      </c>
      <c r="J14" s="32">
        <v>46653</v>
      </c>
      <c r="K14" s="32">
        <v>46569</v>
      </c>
      <c r="L14" s="16"/>
      <c r="M14" s="16"/>
      <c r="N14" s="18" t="s">
        <v>313</v>
      </c>
      <c r="O14" s="22" t="s">
        <v>328</v>
      </c>
      <c r="P14" s="22" t="s">
        <v>161</v>
      </c>
      <c r="Q14" s="22"/>
      <c r="R14" s="22"/>
      <c r="S14" s="22"/>
      <c r="T14" s="22"/>
      <c r="U14" s="33"/>
      <c r="V14" s="19"/>
      <c r="W14" s="19"/>
      <c r="X14" s="20"/>
      <c r="Y14" s="19"/>
      <c r="Z14" s="21"/>
      <c r="AA14" s="31" cm="1">
        <f t="array" ref="AA14">Vorlauf(Tabelle1345[[#This Row],[Anbieter]])</f>
        <v>6</v>
      </c>
      <c r="AB14" s="37">
        <f>EDATE(Tabelle1345[[#This Row],[Vertragsende]], -Tabelle1345[[#This Row],[Vorlauf]]) + 1</f>
        <v>46500</v>
      </c>
      <c r="AC14" s="37">
        <f>EDATE(Tabelle1345[[#This Row],[Vertragsende]], -Tabelle1345[[#This Row],[Vorlauf]] - 1) + 1</f>
        <v>46469</v>
      </c>
    </row>
    <row r="15" spans="1:29" x14ac:dyDescent="0.25">
      <c r="A15" s="35">
        <f t="shared" si="1"/>
        <v>12</v>
      </c>
      <c r="B15" s="16" t="s">
        <v>129</v>
      </c>
      <c r="C15" s="16" t="s">
        <v>130</v>
      </c>
      <c r="D15" s="16" t="s">
        <v>336</v>
      </c>
      <c r="E15" s="16" t="s">
        <v>66</v>
      </c>
      <c r="F15" s="16" t="s">
        <v>337</v>
      </c>
      <c r="G15" s="18"/>
      <c r="H15" s="18"/>
      <c r="I15" s="32">
        <v>46682</v>
      </c>
      <c r="J15" s="32">
        <v>46653</v>
      </c>
      <c r="K15" s="32">
        <v>46569</v>
      </c>
      <c r="L15" s="16"/>
      <c r="M15" s="16"/>
      <c r="N15" s="18" t="s">
        <v>313</v>
      </c>
      <c r="O15" s="22" t="s">
        <v>328</v>
      </c>
      <c r="P15" s="22" t="s">
        <v>161</v>
      </c>
      <c r="Q15" s="22"/>
      <c r="R15" s="22"/>
      <c r="S15" s="22"/>
      <c r="T15" s="22"/>
      <c r="U15" s="33"/>
      <c r="V15" s="19"/>
      <c r="W15" s="19"/>
      <c r="X15" s="20"/>
      <c r="Y15" s="19"/>
      <c r="Z15" s="21"/>
      <c r="AA15" s="31" cm="1">
        <f t="array" ref="AA15">Vorlauf(Tabelle1345[[#This Row],[Anbieter]])</f>
        <v>6</v>
      </c>
      <c r="AB15" s="37">
        <f>EDATE(Tabelle1345[[#This Row],[Vertragsende]], -Tabelle1345[[#This Row],[Vorlauf]]) + 1</f>
        <v>46500</v>
      </c>
      <c r="AC15" s="37">
        <f>EDATE(Tabelle1345[[#This Row],[Vertragsende]], -Tabelle1345[[#This Row],[Vorlauf]] - 1) + 1</f>
        <v>46469</v>
      </c>
    </row>
    <row r="16" spans="1:29" x14ac:dyDescent="0.25">
      <c r="A16" s="35">
        <f t="shared" si="1"/>
        <v>13</v>
      </c>
      <c r="B16" s="16" t="s">
        <v>131</v>
      </c>
      <c r="C16" s="16" t="s">
        <v>132</v>
      </c>
      <c r="D16" s="16" t="s">
        <v>336</v>
      </c>
      <c r="E16" s="16" t="s">
        <v>66</v>
      </c>
      <c r="F16" s="16" t="s">
        <v>337</v>
      </c>
      <c r="G16" s="18"/>
      <c r="H16" s="18"/>
      <c r="I16" s="32">
        <v>46682</v>
      </c>
      <c r="J16" s="32">
        <v>46653</v>
      </c>
      <c r="K16" s="32">
        <v>46569</v>
      </c>
      <c r="L16" s="16"/>
      <c r="M16" s="16"/>
      <c r="N16" s="18" t="s">
        <v>313</v>
      </c>
      <c r="O16" s="22" t="s">
        <v>328</v>
      </c>
      <c r="P16" s="22" t="s">
        <v>161</v>
      </c>
      <c r="Q16" s="22"/>
      <c r="R16" s="22"/>
      <c r="S16" s="22"/>
      <c r="T16" s="22"/>
      <c r="U16" s="33"/>
      <c r="V16" s="19"/>
      <c r="W16" s="19"/>
      <c r="X16" s="20"/>
      <c r="Y16" s="19"/>
      <c r="Z16" s="21"/>
      <c r="AA16" s="31" cm="1">
        <f t="array" ref="AA16">Vorlauf(Tabelle1345[[#This Row],[Anbieter]])</f>
        <v>6</v>
      </c>
      <c r="AB16" s="37">
        <f>EDATE(Tabelle1345[[#This Row],[Vertragsende]], -Tabelle1345[[#This Row],[Vorlauf]]) + 1</f>
        <v>46500</v>
      </c>
      <c r="AC16" s="37">
        <f>EDATE(Tabelle1345[[#This Row],[Vertragsende]], -Tabelle1345[[#This Row],[Vorlauf]] - 1) + 1</f>
        <v>46469</v>
      </c>
    </row>
    <row r="17" spans="1:29" x14ac:dyDescent="0.25">
      <c r="A17" s="35">
        <f t="shared" si="1"/>
        <v>14</v>
      </c>
      <c r="B17" s="16" t="s">
        <v>133</v>
      </c>
      <c r="C17" s="16" t="s">
        <v>134</v>
      </c>
      <c r="D17" s="16" t="s">
        <v>336</v>
      </c>
      <c r="E17" s="16" t="s">
        <v>66</v>
      </c>
      <c r="F17" s="16" t="s">
        <v>337</v>
      </c>
      <c r="G17" s="18"/>
      <c r="H17" s="18"/>
      <c r="I17" s="32">
        <v>46682</v>
      </c>
      <c r="J17" s="32">
        <v>46653</v>
      </c>
      <c r="K17" s="32">
        <v>46569</v>
      </c>
      <c r="L17" s="16"/>
      <c r="M17" s="16"/>
      <c r="N17" s="18" t="s">
        <v>313</v>
      </c>
      <c r="O17" s="22" t="s">
        <v>328</v>
      </c>
      <c r="P17" s="22" t="s">
        <v>161</v>
      </c>
      <c r="Q17" s="22"/>
      <c r="R17" s="22"/>
      <c r="S17" s="22"/>
      <c r="T17" s="22"/>
      <c r="U17" s="33"/>
      <c r="V17" s="19"/>
      <c r="W17" s="19"/>
      <c r="X17" s="20"/>
      <c r="Y17" s="19"/>
      <c r="Z17" s="21"/>
      <c r="AA17" s="31" cm="1">
        <f t="array" ref="AA17">Vorlauf(Tabelle1345[[#This Row],[Anbieter]])</f>
        <v>6</v>
      </c>
      <c r="AB17" s="37">
        <f>EDATE(Tabelle1345[[#This Row],[Vertragsende]], -Tabelle1345[[#This Row],[Vorlauf]]) + 1</f>
        <v>46500</v>
      </c>
      <c r="AC17" s="37">
        <f>EDATE(Tabelle1345[[#This Row],[Vertragsende]], -Tabelle1345[[#This Row],[Vorlauf]] - 1) + 1</f>
        <v>46469</v>
      </c>
    </row>
    <row r="18" spans="1:29" x14ac:dyDescent="0.25">
      <c r="A18" s="35">
        <f t="shared" si="1"/>
        <v>15</v>
      </c>
      <c r="B18" s="16" t="s">
        <v>135</v>
      </c>
      <c r="C18" s="16" t="s">
        <v>136</v>
      </c>
      <c r="D18" s="16" t="s">
        <v>336</v>
      </c>
      <c r="E18" s="16" t="s">
        <v>66</v>
      </c>
      <c r="F18" s="16" t="s">
        <v>337</v>
      </c>
      <c r="G18" s="18"/>
      <c r="H18" s="18"/>
      <c r="I18" s="32">
        <v>46682</v>
      </c>
      <c r="J18" s="32">
        <v>46653</v>
      </c>
      <c r="K18" s="32">
        <v>46569</v>
      </c>
      <c r="L18" s="16"/>
      <c r="M18" s="16"/>
      <c r="N18" s="18" t="s">
        <v>313</v>
      </c>
      <c r="O18" s="22" t="s">
        <v>328</v>
      </c>
      <c r="P18" s="22" t="s">
        <v>161</v>
      </c>
      <c r="Q18" s="22"/>
      <c r="R18" s="22"/>
      <c r="S18" s="22"/>
      <c r="T18" s="22"/>
      <c r="U18" s="33"/>
      <c r="V18" s="19"/>
      <c r="W18" s="19"/>
      <c r="X18" s="20"/>
      <c r="Y18" s="19"/>
      <c r="Z18" s="21"/>
      <c r="AA18" s="31" cm="1">
        <f t="array" ref="AA18">Vorlauf(Tabelle1345[[#This Row],[Anbieter]])</f>
        <v>6</v>
      </c>
      <c r="AB18" s="37">
        <f>EDATE(Tabelle1345[[#This Row],[Vertragsende]], -Tabelle1345[[#This Row],[Vorlauf]]) + 1</f>
        <v>46500</v>
      </c>
      <c r="AC18" s="37">
        <f>EDATE(Tabelle1345[[#This Row],[Vertragsende]], -Tabelle1345[[#This Row],[Vorlauf]] - 1) + 1</f>
        <v>46469</v>
      </c>
    </row>
    <row r="19" spans="1:29" x14ac:dyDescent="0.25">
      <c r="A19" s="35">
        <f t="shared" si="1"/>
        <v>16</v>
      </c>
      <c r="B19" s="16" t="s">
        <v>137</v>
      </c>
      <c r="C19" s="16" t="s">
        <v>138</v>
      </c>
      <c r="D19" s="16" t="s">
        <v>336</v>
      </c>
      <c r="E19" s="16" t="s">
        <v>66</v>
      </c>
      <c r="F19" s="16" t="s">
        <v>337</v>
      </c>
      <c r="G19" s="18"/>
      <c r="H19" s="18"/>
      <c r="I19" s="32">
        <v>46682</v>
      </c>
      <c r="J19" s="32">
        <v>46653</v>
      </c>
      <c r="K19" s="32">
        <v>46569</v>
      </c>
      <c r="L19" s="16"/>
      <c r="M19" s="16"/>
      <c r="N19" s="18" t="s">
        <v>313</v>
      </c>
      <c r="O19" s="22" t="s">
        <v>328</v>
      </c>
      <c r="P19" s="22" t="s">
        <v>161</v>
      </c>
      <c r="Q19" s="22"/>
      <c r="R19" s="22"/>
      <c r="S19" s="22"/>
      <c r="T19" s="22"/>
      <c r="U19" s="33"/>
      <c r="V19" s="19"/>
      <c r="W19" s="19"/>
      <c r="X19" s="20"/>
      <c r="Y19" s="19"/>
      <c r="Z19" s="21"/>
      <c r="AA19" s="31" cm="1">
        <f t="array" ref="AA19">Vorlauf(Tabelle1345[[#This Row],[Anbieter]])</f>
        <v>6</v>
      </c>
      <c r="AB19" s="37">
        <f>EDATE(Tabelle1345[[#This Row],[Vertragsende]], -Tabelle1345[[#This Row],[Vorlauf]]) + 1</f>
        <v>46500</v>
      </c>
      <c r="AC19" s="37">
        <f>EDATE(Tabelle1345[[#This Row],[Vertragsende]], -Tabelle1345[[#This Row],[Vorlauf]] - 1) + 1</f>
        <v>46469</v>
      </c>
    </row>
    <row r="20" spans="1:29" x14ac:dyDescent="0.25">
      <c r="A20" s="35">
        <f t="shared" si="1"/>
        <v>17</v>
      </c>
      <c r="B20" s="16" t="s">
        <v>139</v>
      </c>
      <c r="C20" s="16" t="s">
        <v>140</v>
      </c>
      <c r="D20" s="16" t="s">
        <v>336</v>
      </c>
      <c r="E20" s="16" t="s">
        <v>66</v>
      </c>
      <c r="F20" s="16" t="s">
        <v>337</v>
      </c>
      <c r="G20" s="18"/>
      <c r="H20" s="18"/>
      <c r="I20" s="32">
        <v>46682</v>
      </c>
      <c r="J20" s="32">
        <v>46653</v>
      </c>
      <c r="K20" s="32">
        <v>46569</v>
      </c>
      <c r="L20" s="16"/>
      <c r="M20" s="16"/>
      <c r="N20" s="18" t="s">
        <v>313</v>
      </c>
      <c r="O20" s="22" t="s">
        <v>328</v>
      </c>
      <c r="P20" s="22" t="s">
        <v>161</v>
      </c>
      <c r="Q20" s="22"/>
      <c r="R20" s="22"/>
      <c r="S20" s="22"/>
      <c r="T20" s="22"/>
      <c r="U20" s="33"/>
      <c r="V20" s="19"/>
      <c r="W20" s="19"/>
      <c r="X20" s="20"/>
      <c r="Y20" s="19"/>
      <c r="Z20" s="21"/>
      <c r="AA20" s="31" cm="1">
        <f t="array" ref="AA20">Vorlauf(Tabelle1345[[#This Row],[Anbieter]])</f>
        <v>6</v>
      </c>
      <c r="AB20" s="37">
        <f>EDATE(Tabelle1345[[#This Row],[Vertragsende]], -Tabelle1345[[#This Row],[Vorlauf]]) + 1</f>
        <v>46500</v>
      </c>
      <c r="AC20" s="37">
        <f>EDATE(Tabelle1345[[#This Row],[Vertragsende]], -Tabelle1345[[#This Row],[Vorlauf]] - 1) + 1</f>
        <v>46469</v>
      </c>
    </row>
    <row r="21" spans="1:29" x14ac:dyDescent="0.25">
      <c r="A21" s="35">
        <f t="shared" si="1"/>
        <v>18</v>
      </c>
      <c r="B21" s="16" t="s">
        <v>141</v>
      </c>
      <c r="C21" s="16" t="s">
        <v>142</v>
      </c>
      <c r="D21" s="16" t="s">
        <v>336</v>
      </c>
      <c r="E21" s="16" t="s">
        <v>66</v>
      </c>
      <c r="F21" s="16" t="s">
        <v>337</v>
      </c>
      <c r="G21" s="18"/>
      <c r="H21" s="18"/>
      <c r="I21" s="32">
        <v>46682</v>
      </c>
      <c r="J21" s="32">
        <v>46653</v>
      </c>
      <c r="K21" s="32">
        <v>46569</v>
      </c>
      <c r="L21" s="16"/>
      <c r="M21" s="16"/>
      <c r="N21" s="18" t="s">
        <v>313</v>
      </c>
      <c r="O21" s="22" t="s">
        <v>328</v>
      </c>
      <c r="P21" s="22" t="s">
        <v>161</v>
      </c>
      <c r="Q21" s="22"/>
      <c r="R21" s="22"/>
      <c r="S21" s="22"/>
      <c r="T21" s="22"/>
      <c r="U21" s="33"/>
      <c r="V21" s="19"/>
      <c r="W21" s="19"/>
      <c r="X21" s="20"/>
      <c r="Y21" s="19"/>
      <c r="Z21" s="21"/>
      <c r="AA21" s="31" cm="1">
        <f t="array" ref="AA21">Vorlauf(Tabelle1345[[#This Row],[Anbieter]])</f>
        <v>6</v>
      </c>
      <c r="AB21" s="37">
        <f>EDATE(Tabelle1345[[#This Row],[Vertragsende]], -Tabelle1345[[#This Row],[Vorlauf]]) + 1</f>
        <v>46500</v>
      </c>
      <c r="AC21" s="37">
        <f>EDATE(Tabelle1345[[#This Row],[Vertragsende]], -Tabelle1345[[#This Row],[Vorlauf]] - 1) + 1</f>
        <v>46469</v>
      </c>
    </row>
    <row r="22" spans="1:29" x14ac:dyDescent="0.25">
      <c r="A22" s="35">
        <f t="shared" si="1"/>
        <v>19</v>
      </c>
      <c r="B22" s="16" t="s">
        <v>143</v>
      </c>
      <c r="C22" s="16" t="s">
        <v>144</v>
      </c>
      <c r="D22" s="16" t="s">
        <v>336</v>
      </c>
      <c r="E22" s="16" t="s">
        <v>66</v>
      </c>
      <c r="F22" s="16" t="s">
        <v>337</v>
      </c>
      <c r="G22" s="18"/>
      <c r="H22" s="18"/>
      <c r="I22" s="32">
        <v>46682</v>
      </c>
      <c r="J22" s="32">
        <v>46653</v>
      </c>
      <c r="K22" s="32">
        <v>46569</v>
      </c>
      <c r="L22" s="16"/>
      <c r="M22" s="16"/>
      <c r="N22" s="18" t="s">
        <v>313</v>
      </c>
      <c r="O22" s="22" t="s">
        <v>328</v>
      </c>
      <c r="P22" s="22" t="s">
        <v>161</v>
      </c>
      <c r="Q22" s="22"/>
      <c r="R22" s="22"/>
      <c r="S22" s="22"/>
      <c r="T22" s="22"/>
      <c r="U22" s="33"/>
      <c r="V22" s="19"/>
      <c r="W22" s="19"/>
      <c r="X22" s="20"/>
      <c r="Y22" s="19"/>
      <c r="Z22" s="21"/>
      <c r="AA22" s="31" cm="1">
        <f t="array" ref="AA22">Vorlauf(Tabelle1345[[#This Row],[Anbieter]])</f>
        <v>6</v>
      </c>
      <c r="AB22" s="37">
        <f>EDATE(Tabelle1345[[#This Row],[Vertragsende]], -Tabelle1345[[#This Row],[Vorlauf]]) + 1</f>
        <v>46500</v>
      </c>
      <c r="AC22" s="37">
        <f>EDATE(Tabelle1345[[#This Row],[Vertragsende]], -Tabelle1345[[#This Row],[Vorlauf]] - 1) + 1</f>
        <v>46469</v>
      </c>
    </row>
    <row r="23" spans="1:29" x14ac:dyDescent="0.25">
      <c r="A23" s="35">
        <f t="shared" si="1"/>
        <v>20</v>
      </c>
      <c r="B23" s="16" t="s">
        <v>145</v>
      </c>
      <c r="C23" s="16" t="s">
        <v>146</v>
      </c>
      <c r="D23" s="16" t="s">
        <v>336</v>
      </c>
      <c r="E23" s="16" t="s">
        <v>66</v>
      </c>
      <c r="F23" s="16" t="s">
        <v>337</v>
      </c>
      <c r="G23" s="18"/>
      <c r="H23" s="18"/>
      <c r="I23" s="32">
        <v>46682</v>
      </c>
      <c r="J23" s="32">
        <v>46653</v>
      </c>
      <c r="K23" s="32">
        <v>46569</v>
      </c>
      <c r="L23" s="16"/>
      <c r="M23" s="16"/>
      <c r="N23" s="18" t="s">
        <v>313</v>
      </c>
      <c r="O23" s="22" t="s">
        <v>328</v>
      </c>
      <c r="P23" s="22" t="s">
        <v>161</v>
      </c>
      <c r="Q23" s="22"/>
      <c r="R23" s="22"/>
      <c r="S23" s="22"/>
      <c r="T23" s="22"/>
      <c r="U23" s="33"/>
      <c r="V23" s="19"/>
      <c r="W23" s="19"/>
      <c r="X23" s="20"/>
      <c r="Y23" s="19"/>
      <c r="Z23" s="21"/>
      <c r="AA23" s="31" cm="1">
        <f t="array" ref="AA23">Vorlauf(Tabelle1345[[#This Row],[Anbieter]])</f>
        <v>6</v>
      </c>
      <c r="AB23" s="37">
        <f>EDATE(Tabelle1345[[#This Row],[Vertragsende]], -Tabelle1345[[#This Row],[Vorlauf]]) + 1</f>
        <v>46500</v>
      </c>
      <c r="AC23" s="37">
        <f>EDATE(Tabelle1345[[#This Row],[Vertragsende]], -Tabelle1345[[#This Row],[Vorlauf]] - 1) + 1</f>
        <v>46469</v>
      </c>
    </row>
    <row r="24" spans="1:29" x14ac:dyDescent="0.25">
      <c r="A24" s="35">
        <f t="shared" si="1"/>
        <v>21</v>
      </c>
      <c r="B24" s="16" t="s">
        <v>147</v>
      </c>
      <c r="C24" s="16" t="s">
        <v>148</v>
      </c>
      <c r="D24" s="16" t="s">
        <v>336</v>
      </c>
      <c r="E24" s="16" t="s">
        <v>66</v>
      </c>
      <c r="F24" s="16" t="s">
        <v>337</v>
      </c>
      <c r="G24" s="18"/>
      <c r="H24" s="18"/>
      <c r="I24" s="32">
        <v>46682</v>
      </c>
      <c r="J24" s="32">
        <v>46653</v>
      </c>
      <c r="K24" s="32">
        <v>46569</v>
      </c>
      <c r="L24" s="16"/>
      <c r="M24" s="16"/>
      <c r="N24" s="18" t="s">
        <v>313</v>
      </c>
      <c r="O24" s="22" t="s">
        <v>328</v>
      </c>
      <c r="P24" s="22" t="s">
        <v>161</v>
      </c>
      <c r="Q24" s="22"/>
      <c r="R24" s="22"/>
      <c r="S24" s="22"/>
      <c r="T24" s="22"/>
      <c r="U24" s="33"/>
      <c r="V24" s="19"/>
      <c r="W24" s="19"/>
      <c r="X24" s="20"/>
      <c r="Y24" s="19"/>
      <c r="Z24" s="21"/>
      <c r="AA24" s="31" cm="1">
        <f t="array" ref="AA24">Vorlauf(Tabelle1345[[#This Row],[Anbieter]])</f>
        <v>6</v>
      </c>
      <c r="AB24" s="37">
        <f>EDATE(Tabelle1345[[#This Row],[Vertragsende]], -Tabelle1345[[#This Row],[Vorlauf]]) + 1</f>
        <v>46500</v>
      </c>
      <c r="AC24" s="37">
        <f>EDATE(Tabelle1345[[#This Row],[Vertragsende]], -Tabelle1345[[#This Row],[Vorlauf]] - 1) + 1</f>
        <v>46469</v>
      </c>
    </row>
    <row r="25" spans="1:29" x14ac:dyDescent="0.25">
      <c r="A25" s="35">
        <f t="shared" si="1"/>
        <v>22</v>
      </c>
      <c r="B25" s="16" t="s">
        <v>149</v>
      </c>
      <c r="C25" s="16" t="s">
        <v>330</v>
      </c>
      <c r="D25" s="16" t="s">
        <v>336</v>
      </c>
      <c r="E25" s="16" t="s">
        <v>66</v>
      </c>
      <c r="F25" s="16" t="s">
        <v>337</v>
      </c>
      <c r="G25" s="18"/>
      <c r="H25" s="18"/>
      <c r="I25" s="32">
        <v>46682</v>
      </c>
      <c r="J25" s="32">
        <v>46653</v>
      </c>
      <c r="K25" s="32">
        <v>46569</v>
      </c>
      <c r="L25" s="16"/>
      <c r="M25" s="16"/>
      <c r="N25" s="18" t="s">
        <v>313</v>
      </c>
      <c r="O25" s="22" t="s">
        <v>328</v>
      </c>
      <c r="P25" s="22" t="s">
        <v>161</v>
      </c>
      <c r="Q25" s="22"/>
      <c r="R25" s="22"/>
      <c r="S25" s="22"/>
      <c r="T25" s="22"/>
      <c r="U25" s="33"/>
      <c r="V25" s="19"/>
      <c r="W25" s="19"/>
      <c r="X25" s="20"/>
      <c r="Y25" s="19"/>
      <c r="Z25" s="21"/>
      <c r="AA25" s="31" cm="1">
        <f t="array" ref="AA25">Vorlauf(Tabelle1345[[#This Row],[Anbieter]])</f>
        <v>6</v>
      </c>
      <c r="AB25" s="37">
        <f>EDATE(Tabelle1345[[#This Row],[Vertragsende]], -Tabelle1345[[#This Row],[Vorlauf]]) + 1</f>
        <v>46500</v>
      </c>
      <c r="AC25" s="37">
        <f>EDATE(Tabelle1345[[#This Row],[Vertragsende]], -Tabelle1345[[#This Row],[Vorlauf]] - 1) + 1</f>
        <v>46469</v>
      </c>
    </row>
    <row r="26" spans="1:29" x14ac:dyDescent="0.25">
      <c r="A26" s="35">
        <f t="shared" si="1"/>
        <v>23</v>
      </c>
      <c r="B26" s="16" t="s">
        <v>151</v>
      </c>
      <c r="C26" s="16" t="s">
        <v>152</v>
      </c>
      <c r="D26" s="16" t="s">
        <v>336</v>
      </c>
      <c r="E26" s="16" t="s">
        <v>66</v>
      </c>
      <c r="F26" s="16" t="s">
        <v>337</v>
      </c>
      <c r="G26" s="18"/>
      <c r="H26" s="18"/>
      <c r="I26" s="32">
        <v>46682</v>
      </c>
      <c r="J26" s="32">
        <v>46653</v>
      </c>
      <c r="K26" s="32">
        <v>46569</v>
      </c>
      <c r="L26" s="16"/>
      <c r="M26" s="16"/>
      <c r="N26" s="18" t="s">
        <v>313</v>
      </c>
      <c r="O26" s="22" t="s">
        <v>328</v>
      </c>
      <c r="P26" s="22" t="s">
        <v>161</v>
      </c>
      <c r="Q26" s="22"/>
      <c r="R26" s="22"/>
      <c r="S26" s="22"/>
      <c r="T26" s="22"/>
      <c r="U26" s="33"/>
      <c r="V26" s="19"/>
      <c r="W26" s="19"/>
      <c r="X26" s="20"/>
      <c r="Y26" s="19"/>
      <c r="Z26" s="21"/>
      <c r="AA26" s="31" cm="1">
        <f t="array" ref="AA26">Vorlauf(Tabelle1345[[#This Row],[Anbieter]])</f>
        <v>6</v>
      </c>
      <c r="AB26" s="37">
        <f>EDATE(Tabelle1345[[#This Row],[Vertragsende]], -Tabelle1345[[#This Row],[Vorlauf]]) + 1</f>
        <v>46500</v>
      </c>
      <c r="AC26" s="37">
        <f>EDATE(Tabelle1345[[#This Row],[Vertragsende]], -Tabelle1345[[#This Row],[Vorlauf]] - 1) + 1</f>
        <v>46469</v>
      </c>
    </row>
    <row r="27" spans="1:29" x14ac:dyDescent="0.25">
      <c r="A27" s="35">
        <f t="shared" si="1"/>
        <v>24</v>
      </c>
      <c r="B27" s="16" t="s">
        <v>153</v>
      </c>
      <c r="C27" s="16" t="s">
        <v>154</v>
      </c>
      <c r="D27" s="16" t="s">
        <v>336</v>
      </c>
      <c r="E27" s="16" t="s">
        <v>66</v>
      </c>
      <c r="F27" s="16" t="s">
        <v>337</v>
      </c>
      <c r="G27" s="18"/>
      <c r="H27" s="18"/>
      <c r="I27" s="32">
        <v>46682</v>
      </c>
      <c r="J27" s="32">
        <v>46653</v>
      </c>
      <c r="K27" s="32">
        <v>46569</v>
      </c>
      <c r="L27" s="16"/>
      <c r="M27" s="16"/>
      <c r="N27" s="18" t="s">
        <v>313</v>
      </c>
      <c r="O27" s="22" t="s">
        <v>328</v>
      </c>
      <c r="P27" s="22" t="s">
        <v>161</v>
      </c>
      <c r="Q27" s="22"/>
      <c r="R27" s="22"/>
      <c r="S27" s="22"/>
      <c r="T27" s="22"/>
      <c r="U27" s="33"/>
      <c r="V27" s="19"/>
      <c r="W27" s="19"/>
      <c r="X27" s="20"/>
      <c r="Y27" s="19"/>
      <c r="Z27" s="21"/>
      <c r="AA27" s="31" cm="1">
        <f t="array" ref="AA27">Vorlauf(Tabelle1345[[#This Row],[Anbieter]])</f>
        <v>6</v>
      </c>
      <c r="AB27" s="37">
        <f>EDATE(Tabelle1345[[#This Row],[Vertragsende]], -Tabelle1345[[#This Row],[Vorlauf]]) + 1</f>
        <v>46500</v>
      </c>
      <c r="AC27" s="37">
        <f>EDATE(Tabelle1345[[#This Row],[Vertragsende]], -Tabelle1345[[#This Row],[Vorlauf]] - 1) + 1</f>
        <v>46469</v>
      </c>
    </row>
    <row r="28" spans="1:29" x14ac:dyDescent="0.25">
      <c r="A28" s="35">
        <f t="shared" si="1"/>
        <v>25</v>
      </c>
      <c r="B28" s="16" t="s">
        <v>155</v>
      </c>
      <c r="C28" s="16" t="s">
        <v>156</v>
      </c>
      <c r="D28" s="16" t="s">
        <v>336</v>
      </c>
      <c r="E28" s="16" t="s">
        <v>66</v>
      </c>
      <c r="F28" s="16" t="s">
        <v>337</v>
      </c>
      <c r="G28" s="18"/>
      <c r="H28" s="18"/>
      <c r="I28" s="32">
        <v>46682</v>
      </c>
      <c r="J28" s="32">
        <v>46653</v>
      </c>
      <c r="K28" s="32">
        <v>46569</v>
      </c>
      <c r="L28" s="16"/>
      <c r="M28" s="16"/>
      <c r="N28" s="18" t="s">
        <v>313</v>
      </c>
      <c r="O28" s="22" t="s">
        <v>328</v>
      </c>
      <c r="P28" s="22" t="s">
        <v>161</v>
      </c>
      <c r="Q28" s="22"/>
      <c r="R28" s="22"/>
      <c r="S28" s="22"/>
      <c r="T28" s="22"/>
      <c r="U28" s="33"/>
      <c r="V28" s="19"/>
      <c r="W28" s="19"/>
      <c r="X28" s="20"/>
      <c r="Y28" s="19"/>
      <c r="Z28" s="21"/>
      <c r="AA28" s="31" cm="1">
        <f t="array" ref="AA28">Vorlauf(Tabelle1345[[#This Row],[Anbieter]])</f>
        <v>6</v>
      </c>
      <c r="AB28" s="37">
        <f>EDATE(Tabelle1345[[#This Row],[Vertragsende]], -Tabelle1345[[#This Row],[Vorlauf]]) + 1</f>
        <v>46500</v>
      </c>
      <c r="AC28" s="37">
        <f>EDATE(Tabelle1345[[#This Row],[Vertragsende]], -Tabelle1345[[#This Row],[Vorlauf]] - 1) + 1</f>
        <v>46469</v>
      </c>
    </row>
    <row r="29" spans="1:29" x14ac:dyDescent="0.25">
      <c r="A29" s="35">
        <f t="shared" si="1"/>
        <v>26</v>
      </c>
      <c r="B29" s="16" t="s">
        <v>157</v>
      </c>
      <c r="C29" s="16" t="s">
        <v>158</v>
      </c>
      <c r="D29" s="16" t="s">
        <v>336</v>
      </c>
      <c r="E29" s="16" t="s">
        <v>66</v>
      </c>
      <c r="F29" s="16" t="s">
        <v>337</v>
      </c>
      <c r="G29" s="18"/>
      <c r="H29" s="18"/>
      <c r="I29" s="32">
        <v>46682</v>
      </c>
      <c r="J29" s="32">
        <v>46653</v>
      </c>
      <c r="K29" s="32">
        <v>46569</v>
      </c>
      <c r="L29" s="16"/>
      <c r="M29" s="16"/>
      <c r="N29" s="18" t="s">
        <v>313</v>
      </c>
      <c r="O29" s="22" t="s">
        <v>328</v>
      </c>
      <c r="P29" s="22" t="s">
        <v>161</v>
      </c>
      <c r="Q29" s="22"/>
      <c r="R29" s="22"/>
      <c r="S29" s="22"/>
      <c r="T29" s="22"/>
      <c r="U29" s="33"/>
      <c r="V29" s="19"/>
      <c r="W29" s="19"/>
      <c r="X29" s="20"/>
      <c r="Y29" s="19"/>
      <c r="Z29" s="21"/>
      <c r="AA29" s="31" cm="1">
        <f t="array" ref="AA29">Vorlauf(Tabelle1345[[#This Row],[Anbieter]])</f>
        <v>6</v>
      </c>
      <c r="AB29" s="37">
        <f>EDATE(Tabelle1345[[#This Row],[Vertragsende]], -Tabelle1345[[#This Row],[Vorlauf]]) + 1</f>
        <v>46500</v>
      </c>
      <c r="AC29" s="37">
        <f>EDATE(Tabelle1345[[#This Row],[Vertragsende]], -Tabelle1345[[#This Row],[Vorlauf]] - 1) + 1</f>
        <v>46469</v>
      </c>
    </row>
    <row r="30" spans="1:29" x14ac:dyDescent="0.25">
      <c r="A30" s="35">
        <f t="shared" si="1"/>
        <v>27</v>
      </c>
      <c r="B30" s="16" t="s">
        <v>159</v>
      </c>
      <c r="C30" s="16" t="s">
        <v>160</v>
      </c>
      <c r="D30" s="16" t="s">
        <v>336</v>
      </c>
      <c r="E30" s="16" t="s">
        <v>66</v>
      </c>
      <c r="F30" s="16" t="s">
        <v>337</v>
      </c>
      <c r="G30" s="18"/>
      <c r="H30" s="18"/>
      <c r="I30" s="32">
        <v>46682</v>
      </c>
      <c r="J30" s="32">
        <v>46653</v>
      </c>
      <c r="K30" s="32">
        <v>46569</v>
      </c>
      <c r="L30" s="16"/>
      <c r="M30" s="16"/>
      <c r="N30" s="18" t="s">
        <v>313</v>
      </c>
      <c r="O30" s="22" t="s">
        <v>328</v>
      </c>
      <c r="P30" s="22" t="s">
        <v>161</v>
      </c>
      <c r="Q30" s="22"/>
      <c r="R30" s="22"/>
      <c r="S30" s="22"/>
      <c r="T30" s="22"/>
      <c r="U30" s="33"/>
      <c r="V30" s="19"/>
      <c r="W30" s="19"/>
      <c r="X30" s="20"/>
      <c r="Y30" s="19"/>
      <c r="Z30" s="21"/>
      <c r="AA30" s="31" cm="1">
        <f t="array" ref="AA30">Vorlauf(Tabelle1345[[#This Row],[Anbieter]])</f>
        <v>6</v>
      </c>
      <c r="AB30" s="37">
        <f>EDATE(Tabelle1345[[#This Row],[Vertragsende]], -Tabelle1345[[#This Row],[Vorlauf]]) + 1</f>
        <v>46500</v>
      </c>
      <c r="AC30" s="37">
        <f>EDATE(Tabelle1345[[#This Row],[Vertragsende]], -Tabelle1345[[#This Row],[Vorlauf]] - 1) + 1</f>
        <v>46469</v>
      </c>
    </row>
    <row r="31" spans="1:29" x14ac:dyDescent="0.25">
      <c r="A31" s="35">
        <f t="shared" si="1"/>
        <v>28</v>
      </c>
      <c r="B31" s="16" t="s">
        <v>162</v>
      </c>
      <c r="C31" s="16" t="s">
        <v>163</v>
      </c>
      <c r="D31" s="16" t="s">
        <v>336</v>
      </c>
      <c r="E31" s="16" t="s">
        <v>66</v>
      </c>
      <c r="F31" s="16" t="s">
        <v>337</v>
      </c>
      <c r="G31" s="18"/>
      <c r="H31" s="18"/>
      <c r="I31" s="32">
        <v>46682</v>
      </c>
      <c r="J31" s="32">
        <v>46653</v>
      </c>
      <c r="K31" s="32">
        <v>46569</v>
      </c>
      <c r="L31" s="16"/>
      <c r="M31" s="16"/>
      <c r="N31" s="18" t="s">
        <v>313</v>
      </c>
      <c r="O31" s="22" t="s">
        <v>328</v>
      </c>
      <c r="P31" s="22" t="s">
        <v>161</v>
      </c>
      <c r="Q31" s="22"/>
      <c r="R31" s="22"/>
      <c r="S31" s="22"/>
      <c r="T31" s="22"/>
      <c r="U31" s="33"/>
      <c r="V31" s="19"/>
      <c r="W31" s="19"/>
      <c r="X31" s="20"/>
      <c r="Y31" s="19"/>
      <c r="Z31" s="21"/>
      <c r="AA31" s="31" cm="1">
        <f t="array" ref="AA31">Vorlauf(Tabelle1345[[#This Row],[Anbieter]])</f>
        <v>6</v>
      </c>
      <c r="AB31" s="37">
        <f>EDATE(Tabelle1345[[#This Row],[Vertragsende]], -Tabelle1345[[#This Row],[Vorlauf]]) + 1</f>
        <v>46500</v>
      </c>
      <c r="AC31" s="37">
        <f>EDATE(Tabelle1345[[#This Row],[Vertragsende]], -Tabelle1345[[#This Row],[Vorlauf]] - 1) + 1</f>
        <v>46469</v>
      </c>
    </row>
    <row r="32" spans="1:29" x14ac:dyDescent="0.25">
      <c r="A32" s="35">
        <f t="shared" si="1"/>
        <v>29</v>
      </c>
      <c r="B32" s="16" t="s">
        <v>164</v>
      </c>
      <c r="C32" s="16" t="s">
        <v>165</v>
      </c>
      <c r="D32" s="16" t="s">
        <v>336</v>
      </c>
      <c r="E32" s="16" t="s">
        <v>66</v>
      </c>
      <c r="F32" s="16" t="s">
        <v>337</v>
      </c>
      <c r="G32" s="18"/>
      <c r="H32" s="18"/>
      <c r="I32" s="32">
        <v>46682</v>
      </c>
      <c r="J32" s="32">
        <v>46653</v>
      </c>
      <c r="K32" s="32">
        <v>46569</v>
      </c>
      <c r="L32" s="16"/>
      <c r="M32" s="16"/>
      <c r="N32" s="18" t="s">
        <v>313</v>
      </c>
      <c r="O32" s="22" t="s">
        <v>328</v>
      </c>
      <c r="P32" s="22" t="s">
        <v>161</v>
      </c>
      <c r="Q32" s="22"/>
      <c r="R32" s="22"/>
      <c r="S32" s="22"/>
      <c r="T32" s="22"/>
      <c r="U32" s="33"/>
      <c r="V32" s="19"/>
      <c r="W32" s="19"/>
      <c r="X32" s="20"/>
      <c r="Y32" s="19"/>
      <c r="Z32" s="21"/>
      <c r="AA32" s="31" cm="1">
        <f t="array" ref="AA32">Vorlauf(Tabelle1345[[#This Row],[Anbieter]])</f>
        <v>6</v>
      </c>
      <c r="AB32" s="37">
        <f>EDATE(Tabelle1345[[#This Row],[Vertragsende]], -Tabelle1345[[#This Row],[Vorlauf]]) + 1</f>
        <v>46500</v>
      </c>
      <c r="AC32" s="37">
        <f>EDATE(Tabelle1345[[#This Row],[Vertragsende]], -Tabelle1345[[#This Row],[Vorlauf]] - 1) + 1</f>
        <v>46469</v>
      </c>
    </row>
    <row r="33" spans="1:29" x14ac:dyDescent="0.25">
      <c r="A33" s="35">
        <f t="shared" si="1"/>
        <v>30</v>
      </c>
      <c r="B33" s="16" t="s">
        <v>166</v>
      </c>
      <c r="C33" s="16" t="s">
        <v>167</v>
      </c>
      <c r="D33" s="16" t="s">
        <v>336</v>
      </c>
      <c r="E33" s="16" t="s">
        <v>66</v>
      </c>
      <c r="F33" s="16" t="s">
        <v>337</v>
      </c>
      <c r="G33" s="18"/>
      <c r="H33" s="18"/>
      <c r="I33" s="32">
        <v>46682</v>
      </c>
      <c r="J33" s="32">
        <v>46653</v>
      </c>
      <c r="K33" s="32">
        <v>46569</v>
      </c>
      <c r="L33" s="16"/>
      <c r="M33" s="16"/>
      <c r="N33" s="18" t="s">
        <v>313</v>
      </c>
      <c r="O33" s="22" t="s">
        <v>328</v>
      </c>
      <c r="P33" s="22" t="s">
        <v>161</v>
      </c>
      <c r="Q33" s="22"/>
      <c r="R33" s="22"/>
      <c r="S33" s="22"/>
      <c r="T33" s="22"/>
      <c r="U33" s="33"/>
      <c r="V33" s="19"/>
      <c r="W33" s="19"/>
      <c r="X33" s="20"/>
      <c r="Y33" s="19"/>
      <c r="Z33" s="21"/>
      <c r="AA33" s="31" cm="1">
        <f t="array" ref="AA33">Vorlauf(Tabelle1345[[#This Row],[Anbieter]])</f>
        <v>6</v>
      </c>
      <c r="AB33" s="37">
        <f>EDATE(Tabelle1345[[#This Row],[Vertragsende]], -Tabelle1345[[#This Row],[Vorlauf]]) + 1</f>
        <v>46500</v>
      </c>
      <c r="AC33" s="37">
        <f>EDATE(Tabelle1345[[#This Row],[Vertragsende]], -Tabelle1345[[#This Row],[Vorlauf]] - 1) + 1</f>
        <v>46469</v>
      </c>
    </row>
    <row r="34" spans="1:29" x14ac:dyDescent="0.25">
      <c r="A34" s="35">
        <f t="shared" si="1"/>
        <v>31</v>
      </c>
      <c r="B34" s="16" t="s">
        <v>168</v>
      </c>
      <c r="C34" s="16" t="s">
        <v>169</v>
      </c>
      <c r="D34" s="16" t="s">
        <v>336</v>
      </c>
      <c r="E34" s="16" t="s">
        <v>66</v>
      </c>
      <c r="F34" s="16" t="s">
        <v>337</v>
      </c>
      <c r="G34" s="18"/>
      <c r="H34" s="18"/>
      <c r="I34" s="32">
        <v>46682</v>
      </c>
      <c r="J34" s="32">
        <v>46653</v>
      </c>
      <c r="K34" s="32">
        <v>46569</v>
      </c>
      <c r="L34" s="16"/>
      <c r="M34" s="16"/>
      <c r="N34" s="18" t="s">
        <v>313</v>
      </c>
      <c r="O34" s="22" t="s">
        <v>328</v>
      </c>
      <c r="P34" s="22" t="s">
        <v>161</v>
      </c>
      <c r="Q34" s="22"/>
      <c r="R34" s="22"/>
      <c r="S34" s="22"/>
      <c r="T34" s="22"/>
      <c r="U34" s="33"/>
      <c r="V34" s="19"/>
      <c r="W34" s="19"/>
      <c r="X34" s="20"/>
      <c r="Y34" s="19"/>
      <c r="Z34" s="21"/>
      <c r="AA34" s="31" cm="1">
        <f t="array" ref="AA34">Vorlauf(Tabelle1345[[#This Row],[Anbieter]])</f>
        <v>6</v>
      </c>
      <c r="AB34" s="37">
        <f>EDATE(Tabelle1345[[#This Row],[Vertragsende]], -Tabelle1345[[#This Row],[Vorlauf]]) + 1</f>
        <v>46500</v>
      </c>
      <c r="AC34" s="37">
        <f>EDATE(Tabelle1345[[#This Row],[Vertragsende]], -Tabelle1345[[#This Row],[Vorlauf]] - 1) + 1</f>
        <v>46469</v>
      </c>
    </row>
    <row r="35" spans="1:29" x14ac:dyDescent="0.25">
      <c r="A35" s="35">
        <f t="shared" si="1"/>
        <v>32</v>
      </c>
      <c r="B35" s="16" t="s">
        <v>170</v>
      </c>
      <c r="C35" s="16" t="s">
        <v>171</v>
      </c>
      <c r="D35" s="16" t="s">
        <v>336</v>
      </c>
      <c r="E35" s="16" t="s">
        <v>66</v>
      </c>
      <c r="F35" s="16" t="s">
        <v>337</v>
      </c>
      <c r="G35" s="18"/>
      <c r="H35" s="18"/>
      <c r="I35" s="32">
        <v>46682</v>
      </c>
      <c r="J35" s="32">
        <v>46653</v>
      </c>
      <c r="K35" s="32">
        <v>46569</v>
      </c>
      <c r="L35" s="16"/>
      <c r="M35" s="16"/>
      <c r="N35" s="18" t="s">
        <v>313</v>
      </c>
      <c r="O35" s="22" t="s">
        <v>328</v>
      </c>
      <c r="P35" s="22" t="s">
        <v>161</v>
      </c>
      <c r="Q35" s="22"/>
      <c r="R35" s="22"/>
      <c r="S35" s="22"/>
      <c r="T35" s="22"/>
      <c r="U35" s="33"/>
      <c r="V35" s="19"/>
      <c r="W35" s="19"/>
      <c r="X35" s="20"/>
      <c r="Y35" s="19"/>
      <c r="Z35" s="21"/>
      <c r="AA35" s="31" cm="1">
        <f t="array" ref="AA35">Vorlauf(Tabelle1345[[#This Row],[Anbieter]])</f>
        <v>6</v>
      </c>
      <c r="AB35" s="37">
        <f>EDATE(Tabelle1345[[#This Row],[Vertragsende]], -Tabelle1345[[#This Row],[Vorlauf]]) + 1</f>
        <v>46500</v>
      </c>
      <c r="AC35" s="37">
        <f>EDATE(Tabelle1345[[#This Row],[Vertragsende]], -Tabelle1345[[#This Row],[Vorlauf]] - 1) + 1</f>
        <v>46469</v>
      </c>
    </row>
    <row r="36" spans="1:29" x14ac:dyDescent="0.25">
      <c r="A36" s="35">
        <f t="shared" si="1"/>
        <v>33</v>
      </c>
      <c r="B36" s="16" t="s">
        <v>172</v>
      </c>
      <c r="C36" s="16" t="s">
        <v>331</v>
      </c>
      <c r="D36" s="16" t="s">
        <v>336</v>
      </c>
      <c r="E36" s="16" t="s">
        <v>66</v>
      </c>
      <c r="F36" s="16" t="s">
        <v>337</v>
      </c>
      <c r="G36" s="18"/>
      <c r="H36" s="18"/>
      <c r="I36" s="32">
        <v>46682</v>
      </c>
      <c r="J36" s="32">
        <v>46653</v>
      </c>
      <c r="K36" s="32">
        <v>46569</v>
      </c>
      <c r="L36" s="16"/>
      <c r="M36" s="16"/>
      <c r="N36" s="18" t="s">
        <v>313</v>
      </c>
      <c r="O36" s="22" t="s">
        <v>328</v>
      </c>
      <c r="P36" s="22" t="s">
        <v>161</v>
      </c>
      <c r="Q36" s="22"/>
      <c r="R36" s="22"/>
      <c r="S36" s="22"/>
      <c r="T36" s="22"/>
      <c r="U36" s="33"/>
      <c r="V36" s="19"/>
      <c r="W36" s="19"/>
      <c r="X36" s="20"/>
      <c r="Y36" s="19"/>
      <c r="Z36" s="21"/>
      <c r="AA36" s="31" cm="1">
        <f t="array" ref="AA36">Vorlauf(Tabelle1345[[#This Row],[Anbieter]])</f>
        <v>6</v>
      </c>
      <c r="AB36" s="37">
        <f>EDATE(Tabelle1345[[#This Row],[Vertragsende]], -Tabelle1345[[#This Row],[Vorlauf]]) + 1</f>
        <v>46500</v>
      </c>
      <c r="AC36" s="37">
        <f>EDATE(Tabelle1345[[#This Row],[Vertragsende]], -Tabelle1345[[#This Row],[Vorlauf]] - 1) + 1</f>
        <v>46469</v>
      </c>
    </row>
    <row r="37" spans="1:29" x14ac:dyDescent="0.25">
      <c r="A37" s="35">
        <f t="shared" si="1"/>
        <v>34</v>
      </c>
      <c r="B37" s="16" t="s">
        <v>174</v>
      </c>
      <c r="C37" s="16" t="s">
        <v>175</v>
      </c>
      <c r="D37" s="16" t="s">
        <v>336</v>
      </c>
      <c r="E37" s="16" t="s">
        <v>66</v>
      </c>
      <c r="F37" s="16" t="s">
        <v>337</v>
      </c>
      <c r="G37" s="18"/>
      <c r="H37" s="18"/>
      <c r="I37" s="32">
        <v>46682</v>
      </c>
      <c r="J37" s="32">
        <v>46653</v>
      </c>
      <c r="K37" s="32">
        <v>46569</v>
      </c>
      <c r="L37" s="16"/>
      <c r="M37" s="16"/>
      <c r="N37" s="18" t="s">
        <v>313</v>
      </c>
      <c r="O37" s="22" t="s">
        <v>328</v>
      </c>
      <c r="P37" s="22" t="s">
        <v>161</v>
      </c>
      <c r="Q37" s="22"/>
      <c r="R37" s="22"/>
      <c r="S37" s="22"/>
      <c r="T37" s="22"/>
      <c r="U37" s="33"/>
      <c r="V37" s="19"/>
      <c r="W37" s="19"/>
      <c r="X37" s="20"/>
      <c r="Y37" s="19"/>
      <c r="Z37" s="21"/>
      <c r="AA37" s="31" cm="1">
        <f t="array" ref="AA37">Vorlauf(Tabelle1345[[#This Row],[Anbieter]])</f>
        <v>6</v>
      </c>
      <c r="AB37" s="37">
        <f>EDATE(Tabelle1345[[#This Row],[Vertragsende]], -Tabelle1345[[#This Row],[Vorlauf]]) + 1</f>
        <v>46500</v>
      </c>
      <c r="AC37" s="37">
        <f>EDATE(Tabelle1345[[#This Row],[Vertragsende]], -Tabelle1345[[#This Row],[Vorlauf]] - 1) + 1</f>
        <v>46469</v>
      </c>
    </row>
    <row r="38" spans="1:29" x14ac:dyDescent="0.25">
      <c r="A38" s="35">
        <f t="shared" si="1"/>
        <v>35</v>
      </c>
      <c r="B38" s="16" t="s">
        <v>176</v>
      </c>
      <c r="C38" s="16" t="s">
        <v>177</v>
      </c>
      <c r="D38" s="16" t="s">
        <v>336</v>
      </c>
      <c r="E38" s="16" t="s">
        <v>66</v>
      </c>
      <c r="F38" s="16" t="s">
        <v>337</v>
      </c>
      <c r="G38" s="18"/>
      <c r="H38" s="18"/>
      <c r="I38" s="32">
        <v>46682</v>
      </c>
      <c r="J38" s="32">
        <v>46653</v>
      </c>
      <c r="K38" s="32">
        <v>46569</v>
      </c>
      <c r="L38" s="16"/>
      <c r="M38" s="16"/>
      <c r="N38" s="18" t="s">
        <v>313</v>
      </c>
      <c r="O38" s="22" t="s">
        <v>328</v>
      </c>
      <c r="P38" s="22" t="s">
        <v>161</v>
      </c>
      <c r="Q38" s="22"/>
      <c r="R38" s="22"/>
      <c r="S38" s="22"/>
      <c r="T38" s="22"/>
      <c r="U38" s="33"/>
      <c r="V38" s="19"/>
      <c r="W38" s="19"/>
      <c r="X38" s="20"/>
      <c r="Y38" s="19"/>
      <c r="Z38" s="21"/>
      <c r="AA38" s="31" cm="1">
        <f t="array" ref="AA38">Vorlauf(Tabelle1345[[#This Row],[Anbieter]])</f>
        <v>6</v>
      </c>
      <c r="AB38" s="37">
        <f>EDATE(Tabelle1345[[#This Row],[Vertragsende]], -Tabelle1345[[#This Row],[Vorlauf]]) + 1</f>
        <v>46500</v>
      </c>
      <c r="AC38" s="37">
        <f>EDATE(Tabelle1345[[#This Row],[Vertragsende]], -Tabelle1345[[#This Row],[Vorlauf]] - 1) + 1</f>
        <v>46469</v>
      </c>
    </row>
    <row r="39" spans="1:29" x14ac:dyDescent="0.25">
      <c r="A39" s="35">
        <f t="shared" si="1"/>
        <v>36</v>
      </c>
      <c r="B39" s="16" t="s">
        <v>178</v>
      </c>
      <c r="C39" s="16" t="s">
        <v>179</v>
      </c>
      <c r="D39" s="16" t="s">
        <v>336</v>
      </c>
      <c r="E39" s="16" t="s">
        <v>66</v>
      </c>
      <c r="F39" s="16" t="s">
        <v>337</v>
      </c>
      <c r="G39" s="18"/>
      <c r="H39" s="18"/>
      <c r="I39" s="32">
        <v>46682</v>
      </c>
      <c r="J39" s="32">
        <v>46653</v>
      </c>
      <c r="K39" s="32">
        <v>46569</v>
      </c>
      <c r="L39" s="16"/>
      <c r="M39" s="16"/>
      <c r="N39" s="18" t="s">
        <v>313</v>
      </c>
      <c r="O39" s="22" t="s">
        <v>328</v>
      </c>
      <c r="P39" s="22" t="s">
        <v>161</v>
      </c>
      <c r="Q39" s="22"/>
      <c r="R39" s="22"/>
      <c r="S39" s="22"/>
      <c r="T39" s="22"/>
      <c r="U39" s="33"/>
      <c r="V39" s="19"/>
      <c r="W39" s="19"/>
      <c r="X39" s="20"/>
      <c r="Y39" s="19"/>
      <c r="Z39" s="21"/>
      <c r="AA39" s="31" cm="1">
        <f t="array" ref="AA39">Vorlauf(Tabelle1345[[#This Row],[Anbieter]])</f>
        <v>6</v>
      </c>
      <c r="AB39" s="37">
        <f>EDATE(Tabelle1345[[#This Row],[Vertragsende]], -Tabelle1345[[#This Row],[Vorlauf]]) + 1</f>
        <v>46500</v>
      </c>
      <c r="AC39" s="37">
        <f>EDATE(Tabelle1345[[#This Row],[Vertragsende]], -Tabelle1345[[#This Row],[Vorlauf]] - 1) + 1</f>
        <v>46469</v>
      </c>
    </row>
    <row r="40" spans="1:29" x14ac:dyDescent="0.25">
      <c r="A40" s="35">
        <f t="shared" si="1"/>
        <v>37</v>
      </c>
      <c r="B40" s="16" t="s">
        <v>180</v>
      </c>
      <c r="C40" s="16" t="s">
        <v>181</v>
      </c>
      <c r="D40" s="16" t="s">
        <v>336</v>
      </c>
      <c r="E40" s="16" t="s">
        <v>66</v>
      </c>
      <c r="F40" s="16" t="s">
        <v>337</v>
      </c>
      <c r="G40" s="18"/>
      <c r="H40" s="18"/>
      <c r="I40" s="32">
        <v>46682</v>
      </c>
      <c r="J40" s="32">
        <v>46653</v>
      </c>
      <c r="K40" s="32">
        <v>46569</v>
      </c>
      <c r="L40" s="16"/>
      <c r="M40" s="16"/>
      <c r="N40" s="18" t="s">
        <v>313</v>
      </c>
      <c r="O40" s="22" t="s">
        <v>328</v>
      </c>
      <c r="P40" s="22" t="s">
        <v>161</v>
      </c>
      <c r="Q40" s="22"/>
      <c r="R40" s="22"/>
      <c r="S40" s="22"/>
      <c r="T40" s="22"/>
      <c r="U40" s="33"/>
      <c r="V40" s="19"/>
      <c r="W40" s="19"/>
      <c r="X40" s="20"/>
      <c r="Y40" s="19"/>
      <c r="Z40" s="21"/>
      <c r="AA40" s="31" cm="1">
        <f t="array" ref="AA40">Vorlauf(Tabelle1345[[#This Row],[Anbieter]])</f>
        <v>6</v>
      </c>
      <c r="AB40" s="37">
        <f>EDATE(Tabelle1345[[#This Row],[Vertragsende]], -Tabelle1345[[#This Row],[Vorlauf]]) + 1</f>
        <v>46500</v>
      </c>
      <c r="AC40" s="37">
        <f>EDATE(Tabelle1345[[#This Row],[Vertragsende]], -Tabelle1345[[#This Row],[Vorlauf]] - 1) + 1</f>
        <v>46469</v>
      </c>
    </row>
    <row r="41" spans="1:29" x14ac:dyDescent="0.25">
      <c r="A41" s="35">
        <f t="shared" si="1"/>
        <v>38</v>
      </c>
      <c r="B41" s="16" t="s">
        <v>182</v>
      </c>
      <c r="C41" s="16" t="s">
        <v>183</v>
      </c>
      <c r="D41" s="16" t="s">
        <v>336</v>
      </c>
      <c r="E41" s="16" t="s">
        <v>66</v>
      </c>
      <c r="F41" s="16" t="s">
        <v>337</v>
      </c>
      <c r="G41" s="18"/>
      <c r="H41" s="18"/>
      <c r="I41" s="32">
        <v>46682</v>
      </c>
      <c r="J41" s="32">
        <v>46653</v>
      </c>
      <c r="K41" s="32">
        <v>46569</v>
      </c>
      <c r="L41" s="16"/>
      <c r="M41" s="16"/>
      <c r="N41" s="18" t="s">
        <v>313</v>
      </c>
      <c r="O41" s="22" t="s">
        <v>328</v>
      </c>
      <c r="P41" s="22" t="s">
        <v>161</v>
      </c>
      <c r="Q41" s="22"/>
      <c r="R41" s="22"/>
      <c r="S41" s="22"/>
      <c r="T41" s="22"/>
      <c r="U41" s="33"/>
      <c r="V41" s="19"/>
      <c r="W41" s="19"/>
      <c r="X41" s="20"/>
      <c r="Y41" s="19"/>
      <c r="Z41" s="21"/>
      <c r="AA41" s="31" cm="1">
        <f t="array" ref="AA41">Vorlauf(Tabelle1345[[#This Row],[Anbieter]])</f>
        <v>6</v>
      </c>
      <c r="AB41" s="37">
        <f>EDATE(Tabelle1345[[#This Row],[Vertragsende]], -Tabelle1345[[#This Row],[Vorlauf]]) + 1</f>
        <v>46500</v>
      </c>
      <c r="AC41" s="37">
        <f>EDATE(Tabelle1345[[#This Row],[Vertragsende]], -Tabelle1345[[#This Row],[Vorlauf]] - 1) + 1</f>
        <v>46469</v>
      </c>
    </row>
    <row r="42" spans="1:29" x14ac:dyDescent="0.25">
      <c r="A42" s="35">
        <f t="shared" si="1"/>
        <v>39</v>
      </c>
      <c r="B42" s="16" t="s">
        <v>184</v>
      </c>
      <c r="C42" s="16" t="s">
        <v>185</v>
      </c>
      <c r="D42" s="16" t="s">
        <v>336</v>
      </c>
      <c r="E42" s="16" t="s">
        <v>66</v>
      </c>
      <c r="F42" s="16" t="s">
        <v>337</v>
      </c>
      <c r="G42" s="18"/>
      <c r="H42" s="18"/>
      <c r="I42" s="32">
        <v>46682</v>
      </c>
      <c r="J42" s="32">
        <v>46653</v>
      </c>
      <c r="K42" s="32">
        <v>46569</v>
      </c>
      <c r="L42" s="16"/>
      <c r="M42" s="16"/>
      <c r="N42" s="18" t="s">
        <v>313</v>
      </c>
      <c r="O42" s="22" t="s">
        <v>328</v>
      </c>
      <c r="P42" s="22" t="s">
        <v>161</v>
      </c>
      <c r="Q42" s="22"/>
      <c r="R42" s="22"/>
      <c r="S42" s="22"/>
      <c r="T42" s="22"/>
      <c r="U42" s="33"/>
      <c r="V42" s="19"/>
      <c r="W42" s="19"/>
      <c r="X42" s="20"/>
      <c r="Y42" s="19"/>
      <c r="Z42" s="21"/>
      <c r="AA42" s="31" cm="1">
        <f t="array" ref="AA42">Vorlauf(Tabelle1345[[#This Row],[Anbieter]])</f>
        <v>6</v>
      </c>
      <c r="AB42" s="37">
        <f>EDATE(Tabelle1345[[#This Row],[Vertragsende]], -Tabelle1345[[#This Row],[Vorlauf]]) + 1</f>
        <v>46500</v>
      </c>
      <c r="AC42" s="37">
        <f>EDATE(Tabelle1345[[#This Row],[Vertragsende]], -Tabelle1345[[#This Row],[Vorlauf]] - 1) + 1</f>
        <v>46469</v>
      </c>
    </row>
    <row r="43" spans="1:29" x14ac:dyDescent="0.25">
      <c r="A43" s="35">
        <f t="shared" si="1"/>
        <v>40</v>
      </c>
      <c r="B43" s="16" t="s">
        <v>186</v>
      </c>
      <c r="C43" s="16" t="s">
        <v>187</v>
      </c>
      <c r="D43" s="16" t="s">
        <v>336</v>
      </c>
      <c r="E43" s="16" t="s">
        <v>66</v>
      </c>
      <c r="F43" s="16" t="s">
        <v>337</v>
      </c>
      <c r="G43" s="18"/>
      <c r="H43" s="18"/>
      <c r="I43" s="32">
        <v>46682</v>
      </c>
      <c r="J43" s="32">
        <v>46653</v>
      </c>
      <c r="K43" s="32">
        <v>46569</v>
      </c>
      <c r="L43" s="16"/>
      <c r="M43" s="16"/>
      <c r="N43" s="18" t="s">
        <v>313</v>
      </c>
      <c r="O43" s="22" t="s">
        <v>328</v>
      </c>
      <c r="P43" s="22" t="s">
        <v>161</v>
      </c>
      <c r="Q43" s="22"/>
      <c r="R43" s="22"/>
      <c r="S43" s="22"/>
      <c r="T43" s="22"/>
      <c r="U43" s="33"/>
      <c r="V43" s="19"/>
      <c r="W43" s="19"/>
      <c r="X43" s="20"/>
      <c r="Y43" s="19"/>
      <c r="Z43" s="21"/>
      <c r="AA43" s="31" cm="1">
        <f t="array" ref="AA43">Vorlauf(Tabelle1345[[#This Row],[Anbieter]])</f>
        <v>6</v>
      </c>
      <c r="AB43" s="37">
        <f>EDATE(Tabelle1345[[#This Row],[Vertragsende]], -Tabelle1345[[#This Row],[Vorlauf]]) + 1</f>
        <v>46500</v>
      </c>
      <c r="AC43" s="37">
        <f>EDATE(Tabelle1345[[#This Row],[Vertragsende]], -Tabelle1345[[#This Row],[Vorlauf]] - 1) + 1</f>
        <v>46469</v>
      </c>
    </row>
    <row r="44" spans="1:29" x14ac:dyDescent="0.25">
      <c r="A44" s="35">
        <f t="shared" si="1"/>
        <v>41</v>
      </c>
      <c r="B44" s="16" t="s">
        <v>188</v>
      </c>
      <c r="C44" s="16" t="s">
        <v>189</v>
      </c>
      <c r="D44" s="16" t="s">
        <v>336</v>
      </c>
      <c r="E44" s="16" t="s">
        <v>66</v>
      </c>
      <c r="F44" s="16" t="s">
        <v>337</v>
      </c>
      <c r="G44" s="18"/>
      <c r="H44" s="18"/>
      <c r="I44" s="32">
        <v>46682</v>
      </c>
      <c r="J44" s="32">
        <v>46653</v>
      </c>
      <c r="K44" s="32">
        <v>46569</v>
      </c>
      <c r="L44" s="16"/>
      <c r="M44" s="16"/>
      <c r="N44" s="18" t="s">
        <v>313</v>
      </c>
      <c r="O44" s="22" t="s">
        <v>328</v>
      </c>
      <c r="P44" s="22" t="s">
        <v>161</v>
      </c>
      <c r="Q44" s="22"/>
      <c r="R44" s="22"/>
      <c r="S44" s="22"/>
      <c r="T44" s="22"/>
      <c r="U44" s="33"/>
      <c r="V44" s="19"/>
      <c r="W44" s="19"/>
      <c r="X44" s="20"/>
      <c r="Y44" s="19"/>
      <c r="Z44" s="21"/>
      <c r="AA44" s="31" cm="1">
        <f t="array" ref="AA44">Vorlauf(Tabelle1345[[#This Row],[Anbieter]])</f>
        <v>6</v>
      </c>
      <c r="AB44" s="37">
        <f>EDATE(Tabelle1345[[#This Row],[Vertragsende]], -Tabelle1345[[#This Row],[Vorlauf]]) + 1</f>
        <v>46500</v>
      </c>
      <c r="AC44" s="37">
        <f>EDATE(Tabelle1345[[#This Row],[Vertragsende]], -Tabelle1345[[#This Row],[Vorlauf]] - 1) + 1</f>
        <v>46469</v>
      </c>
    </row>
    <row r="45" spans="1:29" x14ac:dyDescent="0.25">
      <c r="A45" s="35">
        <f t="shared" si="1"/>
        <v>42</v>
      </c>
      <c r="B45" s="16" t="s">
        <v>190</v>
      </c>
      <c r="C45" s="16" t="s">
        <v>191</v>
      </c>
      <c r="D45" s="16" t="s">
        <v>336</v>
      </c>
      <c r="E45" s="16" t="s">
        <v>66</v>
      </c>
      <c r="F45" s="16" t="s">
        <v>337</v>
      </c>
      <c r="G45" s="18"/>
      <c r="H45" s="18"/>
      <c r="I45" s="32">
        <v>46682</v>
      </c>
      <c r="J45" s="32">
        <v>46653</v>
      </c>
      <c r="K45" s="32">
        <v>46569</v>
      </c>
      <c r="L45" s="16"/>
      <c r="M45" s="16"/>
      <c r="N45" s="18" t="s">
        <v>313</v>
      </c>
      <c r="O45" s="22" t="s">
        <v>328</v>
      </c>
      <c r="P45" s="22" t="s">
        <v>161</v>
      </c>
      <c r="Q45" s="22"/>
      <c r="R45" s="22"/>
      <c r="S45" s="22"/>
      <c r="T45" s="22"/>
      <c r="U45" s="33"/>
      <c r="V45" s="19"/>
      <c r="W45" s="19"/>
      <c r="X45" s="20"/>
      <c r="Y45" s="19"/>
      <c r="Z45" s="21"/>
      <c r="AA45" s="31" cm="1">
        <f t="array" ref="AA45">Vorlauf(Tabelle1345[[#This Row],[Anbieter]])</f>
        <v>6</v>
      </c>
      <c r="AB45" s="37">
        <f>EDATE(Tabelle1345[[#This Row],[Vertragsende]], -Tabelle1345[[#This Row],[Vorlauf]]) + 1</f>
        <v>46500</v>
      </c>
      <c r="AC45" s="37">
        <f>EDATE(Tabelle1345[[#This Row],[Vertragsende]], -Tabelle1345[[#This Row],[Vorlauf]] - 1) + 1</f>
        <v>46469</v>
      </c>
    </row>
    <row r="46" spans="1:29" x14ac:dyDescent="0.25">
      <c r="A46" s="35">
        <f t="shared" si="1"/>
        <v>43</v>
      </c>
      <c r="B46" s="16" t="s">
        <v>192</v>
      </c>
      <c r="C46" s="16" t="s">
        <v>193</v>
      </c>
      <c r="D46" s="16" t="s">
        <v>336</v>
      </c>
      <c r="E46" s="16" t="s">
        <v>66</v>
      </c>
      <c r="F46" s="16" t="s">
        <v>337</v>
      </c>
      <c r="G46" s="18"/>
      <c r="H46" s="18"/>
      <c r="I46" s="32">
        <v>46682</v>
      </c>
      <c r="J46" s="32">
        <v>46653</v>
      </c>
      <c r="K46" s="32">
        <v>46569</v>
      </c>
      <c r="L46" s="16"/>
      <c r="M46" s="16"/>
      <c r="N46" s="18" t="s">
        <v>313</v>
      </c>
      <c r="O46" s="22" t="s">
        <v>328</v>
      </c>
      <c r="P46" s="22" t="s">
        <v>161</v>
      </c>
      <c r="Q46" s="22"/>
      <c r="R46" s="22"/>
      <c r="S46" s="22"/>
      <c r="T46" s="22"/>
      <c r="U46" s="33"/>
      <c r="V46" s="19"/>
      <c r="W46" s="19"/>
      <c r="X46" s="20"/>
      <c r="Y46" s="19"/>
      <c r="Z46" s="21"/>
      <c r="AA46" s="31" cm="1">
        <f t="array" ref="AA46">Vorlauf(Tabelle1345[[#This Row],[Anbieter]])</f>
        <v>6</v>
      </c>
      <c r="AB46" s="37">
        <f>EDATE(Tabelle1345[[#This Row],[Vertragsende]], -Tabelle1345[[#This Row],[Vorlauf]]) + 1</f>
        <v>46500</v>
      </c>
      <c r="AC46" s="37">
        <f>EDATE(Tabelle1345[[#This Row],[Vertragsende]], -Tabelle1345[[#This Row],[Vorlauf]] - 1) + 1</f>
        <v>46469</v>
      </c>
    </row>
    <row r="47" spans="1:29" x14ac:dyDescent="0.25">
      <c r="A47" s="35">
        <f t="shared" si="1"/>
        <v>44</v>
      </c>
      <c r="B47" s="16" t="s">
        <v>194</v>
      </c>
      <c r="C47" s="16" t="s">
        <v>195</v>
      </c>
      <c r="D47" s="16" t="s">
        <v>336</v>
      </c>
      <c r="E47" s="16" t="s">
        <v>66</v>
      </c>
      <c r="F47" s="16" t="s">
        <v>337</v>
      </c>
      <c r="G47" s="18"/>
      <c r="H47" s="18"/>
      <c r="I47" s="32">
        <v>46682</v>
      </c>
      <c r="J47" s="32">
        <v>46653</v>
      </c>
      <c r="K47" s="32">
        <v>46569</v>
      </c>
      <c r="L47" s="16"/>
      <c r="M47" s="16"/>
      <c r="N47" s="18" t="s">
        <v>313</v>
      </c>
      <c r="O47" s="22" t="s">
        <v>328</v>
      </c>
      <c r="P47" s="22" t="s">
        <v>161</v>
      </c>
      <c r="Q47" s="22"/>
      <c r="R47" s="22"/>
      <c r="S47" s="22"/>
      <c r="T47" s="22"/>
      <c r="U47" s="33"/>
      <c r="V47" s="19"/>
      <c r="W47" s="19"/>
      <c r="X47" s="20"/>
      <c r="Y47" s="19"/>
      <c r="Z47" s="21"/>
      <c r="AA47" s="31" cm="1">
        <f t="array" ref="AA47">Vorlauf(Tabelle1345[[#This Row],[Anbieter]])</f>
        <v>6</v>
      </c>
      <c r="AB47" s="37">
        <f>EDATE(Tabelle1345[[#This Row],[Vertragsende]], -Tabelle1345[[#This Row],[Vorlauf]]) + 1</f>
        <v>46500</v>
      </c>
      <c r="AC47" s="37">
        <f>EDATE(Tabelle1345[[#This Row],[Vertragsende]], -Tabelle1345[[#This Row],[Vorlauf]] - 1) + 1</f>
        <v>46469</v>
      </c>
    </row>
    <row r="48" spans="1:29" x14ac:dyDescent="0.25">
      <c r="A48" s="35">
        <f t="shared" si="1"/>
        <v>45</v>
      </c>
      <c r="B48" s="16" t="s">
        <v>196</v>
      </c>
      <c r="C48" s="16" t="s">
        <v>197</v>
      </c>
      <c r="D48" s="16" t="s">
        <v>336</v>
      </c>
      <c r="E48" s="16" t="s">
        <v>66</v>
      </c>
      <c r="F48" s="16" t="s">
        <v>337</v>
      </c>
      <c r="G48" s="18"/>
      <c r="H48" s="18"/>
      <c r="I48" s="32">
        <v>46682</v>
      </c>
      <c r="J48" s="32">
        <v>46653</v>
      </c>
      <c r="K48" s="32">
        <v>46569</v>
      </c>
      <c r="L48" s="16"/>
      <c r="M48" s="16"/>
      <c r="N48" s="18" t="s">
        <v>313</v>
      </c>
      <c r="O48" s="22" t="s">
        <v>328</v>
      </c>
      <c r="P48" s="22" t="s">
        <v>161</v>
      </c>
      <c r="Q48" s="22"/>
      <c r="R48" s="22"/>
      <c r="S48" s="22"/>
      <c r="T48" s="22"/>
      <c r="U48" s="33"/>
      <c r="V48" s="19"/>
      <c r="W48" s="19"/>
      <c r="X48" s="20"/>
      <c r="Y48" s="19"/>
      <c r="Z48" s="21"/>
      <c r="AA48" s="31" cm="1">
        <f t="array" ref="AA48">Vorlauf(Tabelle1345[[#This Row],[Anbieter]])</f>
        <v>6</v>
      </c>
      <c r="AB48" s="37">
        <f>EDATE(Tabelle1345[[#This Row],[Vertragsende]], -Tabelle1345[[#This Row],[Vorlauf]]) + 1</f>
        <v>46500</v>
      </c>
      <c r="AC48" s="37">
        <f>EDATE(Tabelle1345[[#This Row],[Vertragsende]], -Tabelle1345[[#This Row],[Vorlauf]] - 1) + 1</f>
        <v>46469</v>
      </c>
    </row>
    <row r="49" spans="1:29" x14ac:dyDescent="0.25">
      <c r="A49" s="35">
        <f t="shared" si="1"/>
        <v>46</v>
      </c>
      <c r="B49" s="16" t="s">
        <v>198</v>
      </c>
      <c r="C49" s="16" t="s">
        <v>332</v>
      </c>
      <c r="D49" s="16" t="s">
        <v>336</v>
      </c>
      <c r="E49" s="16" t="s">
        <v>66</v>
      </c>
      <c r="F49" s="16" t="s">
        <v>337</v>
      </c>
      <c r="G49" s="18"/>
      <c r="H49" s="18"/>
      <c r="I49" s="32">
        <v>46682</v>
      </c>
      <c r="J49" s="32">
        <v>46653</v>
      </c>
      <c r="K49" s="32">
        <v>46569</v>
      </c>
      <c r="L49" s="16"/>
      <c r="M49" s="16"/>
      <c r="N49" s="18" t="s">
        <v>313</v>
      </c>
      <c r="O49" s="22" t="s">
        <v>328</v>
      </c>
      <c r="P49" s="22" t="s">
        <v>161</v>
      </c>
      <c r="Q49" s="22"/>
      <c r="R49" s="22"/>
      <c r="S49" s="22"/>
      <c r="T49" s="22"/>
      <c r="U49" s="33"/>
      <c r="V49" s="19"/>
      <c r="W49" s="19"/>
      <c r="X49" s="20"/>
      <c r="Y49" s="19"/>
      <c r="Z49" s="21"/>
      <c r="AA49" s="31" cm="1">
        <f t="array" ref="AA49">Vorlauf(Tabelle1345[[#This Row],[Anbieter]])</f>
        <v>6</v>
      </c>
      <c r="AB49" s="37">
        <f>EDATE(Tabelle1345[[#This Row],[Vertragsende]], -Tabelle1345[[#This Row],[Vorlauf]]) + 1</f>
        <v>46500</v>
      </c>
      <c r="AC49" s="37">
        <f>EDATE(Tabelle1345[[#This Row],[Vertragsende]], -Tabelle1345[[#This Row],[Vorlauf]] - 1) + 1</f>
        <v>46469</v>
      </c>
    </row>
    <row r="50" spans="1:29" x14ac:dyDescent="0.25">
      <c r="A50" s="35">
        <f t="shared" si="1"/>
        <v>47</v>
      </c>
      <c r="B50" s="16" t="s">
        <v>200</v>
      </c>
      <c r="C50" s="16" t="s">
        <v>333</v>
      </c>
      <c r="D50" s="16" t="s">
        <v>336</v>
      </c>
      <c r="E50" s="16" t="s">
        <v>66</v>
      </c>
      <c r="F50" s="16" t="s">
        <v>337</v>
      </c>
      <c r="G50" s="18"/>
      <c r="H50" s="18"/>
      <c r="I50" s="32">
        <v>46682</v>
      </c>
      <c r="J50" s="32">
        <v>46653</v>
      </c>
      <c r="K50" s="32">
        <v>46569</v>
      </c>
      <c r="L50" s="16"/>
      <c r="M50" s="16"/>
      <c r="N50" s="18" t="s">
        <v>313</v>
      </c>
      <c r="O50" s="22" t="s">
        <v>328</v>
      </c>
      <c r="P50" s="22" t="s">
        <v>161</v>
      </c>
      <c r="Q50" s="22"/>
      <c r="R50" s="22"/>
      <c r="S50" s="22"/>
      <c r="T50" s="22"/>
      <c r="U50" s="33"/>
      <c r="V50" s="19"/>
      <c r="W50" s="19"/>
      <c r="X50" s="20"/>
      <c r="Y50" s="19"/>
      <c r="Z50" s="21"/>
      <c r="AA50" s="31" cm="1">
        <f t="array" ref="AA50">Vorlauf(Tabelle1345[[#This Row],[Anbieter]])</f>
        <v>6</v>
      </c>
      <c r="AB50" s="37">
        <f>EDATE(Tabelle1345[[#This Row],[Vertragsende]], -Tabelle1345[[#This Row],[Vorlauf]]) + 1</f>
        <v>46500</v>
      </c>
      <c r="AC50" s="37">
        <f>EDATE(Tabelle1345[[#This Row],[Vertragsende]], -Tabelle1345[[#This Row],[Vorlauf]] - 1) + 1</f>
        <v>46469</v>
      </c>
    </row>
    <row r="51" spans="1:29" x14ac:dyDescent="0.25">
      <c r="A51" s="35">
        <f t="shared" si="1"/>
        <v>48</v>
      </c>
      <c r="B51" s="16" t="s">
        <v>202</v>
      </c>
      <c r="C51" s="16" t="s">
        <v>203</v>
      </c>
      <c r="D51" s="16" t="s">
        <v>336</v>
      </c>
      <c r="E51" s="16" t="s">
        <v>66</v>
      </c>
      <c r="F51" s="16" t="s">
        <v>337</v>
      </c>
      <c r="G51" s="18"/>
      <c r="H51" s="18"/>
      <c r="I51" s="32">
        <v>46682</v>
      </c>
      <c r="J51" s="32">
        <v>46653</v>
      </c>
      <c r="K51" s="32">
        <v>46569</v>
      </c>
      <c r="L51" s="16"/>
      <c r="M51" s="16"/>
      <c r="N51" s="18" t="s">
        <v>313</v>
      </c>
      <c r="O51" s="22" t="s">
        <v>328</v>
      </c>
      <c r="P51" s="22" t="s">
        <v>161</v>
      </c>
      <c r="Q51" s="22"/>
      <c r="R51" s="22"/>
      <c r="S51" s="22"/>
      <c r="T51" s="22"/>
      <c r="U51" s="33"/>
      <c r="V51" s="19"/>
      <c r="W51" s="19"/>
      <c r="X51" s="20"/>
      <c r="Y51" s="19"/>
      <c r="Z51" s="21"/>
      <c r="AA51" s="31" cm="1">
        <f t="array" ref="AA51">Vorlauf(Tabelle1345[[#This Row],[Anbieter]])</f>
        <v>6</v>
      </c>
      <c r="AB51" s="37">
        <f>EDATE(Tabelle1345[[#This Row],[Vertragsende]], -Tabelle1345[[#This Row],[Vorlauf]]) + 1</f>
        <v>46500</v>
      </c>
      <c r="AC51" s="37">
        <f>EDATE(Tabelle1345[[#This Row],[Vertragsende]], -Tabelle1345[[#This Row],[Vorlauf]] - 1) + 1</f>
        <v>46469</v>
      </c>
    </row>
  </sheetData>
  <dataValidations count="2">
    <dataValidation type="list" allowBlank="1" showInputMessage="1" showErrorMessage="1" sqref="G4:H51" xr:uid="{2BF95A7D-8010-4767-9648-18BDD7B15256}">
      <formula1>"X"</formula1>
    </dataValidation>
    <dataValidation type="list" allowBlank="1" showInputMessage="1" showErrorMessage="1" sqref="N4:N51" xr:uid="{9463244E-E20D-4AE0-A206-24DE7401DA69}">
      <formula1>"O,P"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1934-8FA7-44B9-BE11-9CD507DCD4B6}">
  <dimension ref="A1:AC4"/>
  <sheetViews>
    <sheetView showGridLines="0" workbookViewId="0">
      <selection activeCell="B4" sqref="B4"/>
    </sheetView>
  </sheetViews>
  <sheetFormatPr baseColWidth="10" defaultRowHeight="13.5" x14ac:dyDescent="0.25"/>
  <cols>
    <col min="1" max="1" width="5.5" style="15" customWidth="1"/>
    <col min="2" max="2" width="12.625" style="15" customWidth="1"/>
    <col min="3" max="3" width="16" style="15" customWidth="1"/>
    <col min="4" max="4" width="11.25" style="15" customWidth="1"/>
    <col min="5" max="5" width="9" style="15" customWidth="1"/>
    <col min="6" max="6" width="6.375" style="15" customWidth="1"/>
    <col min="7" max="7" width="6.875" style="15" bestFit="1" customWidth="1"/>
    <col min="8" max="8" width="6.375" style="15" bestFit="1" customWidth="1"/>
    <col min="9" max="9" width="11.25" style="15" customWidth="1"/>
    <col min="10" max="11" width="6.875" style="15" bestFit="1" customWidth="1"/>
    <col min="12" max="12" width="10.125" style="15" customWidth="1"/>
    <col min="13" max="13" width="11" style="15"/>
    <col min="14" max="14" width="5.5" style="15" customWidth="1"/>
    <col min="15" max="15" width="8.75" style="15" customWidth="1"/>
    <col min="16" max="16" width="8.125" style="15" customWidth="1"/>
    <col min="17" max="17" width="9.625" style="15" customWidth="1"/>
    <col min="18" max="18" width="9.75" style="15" customWidth="1"/>
    <col min="19" max="19" width="9.625" style="15" customWidth="1"/>
    <col min="20" max="20" width="9.125" style="15" customWidth="1"/>
    <col min="21" max="21" width="7.875" style="15" customWidth="1"/>
    <col min="22" max="22" width="8.875" style="15" bestFit="1" customWidth="1"/>
    <col min="23" max="23" width="39.75" style="15" bestFit="1" customWidth="1"/>
    <col min="24" max="24" width="11.75" style="15" bestFit="1" customWidth="1"/>
    <col min="25" max="25" width="11" style="15"/>
    <col min="26" max="26" width="7.625" style="15" customWidth="1"/>
    <col min="27" max="27" width="8.875" style="15" bestFit="1" customWidth="1"/>
    <col min="28" max="28" width="8.625" style="15" bestFit="1" customWidth="1"/>
    <col min="29" max="16384" width="11" style="15"/>
  </cols>
  <sheetData>
    <row r="1" spans="1:29" s="30" customFormat="1" ht="26.25" customHeight="1" x14ac:dyDescent="0.25">
      <c r="A1" s="28" t="s">
        <v>324</v>
      </c>
      <c r="B1" s="29"/>
      <c r="C1" s="29" t="str" cm="1">
        <f t="array" ref="C1">Fullname(Kunde!$B$4,Kunde!$B$5) &amp; ", " &amp; Kunde!$B$7</f>
        <v>Friedrich von Lien AG, 27404 Zeven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s="24" customFormat="1" ht="15" x14ac:dyDescent="0.25">
      <c r="A2" s="23" t="s">
        <v>321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5" t="s">
        <v>322</v>
      </c>
      <c r="P2" s="23"/>
      <c r="Q2" s="23"/>
      <c r="R2" s="23"/>
      <c r="S2" s="23"/>
      <c r="T2" s="27"/>
      <c r="U2" s="23" t="s">
        <v>323</v>
      </c>
      <c r="V2" s="27"/>
      <c r="W2" s="26"/>
      <c r="X2" s="23"/>
      <c r="Y2" s="23"/>
      <c r="Z2" s="23"/>
      <c r="AA2" s="23"/>
      <c r="AB2" s="23"/>
      <c r="AC2" s="27"/>
    </row>
    <row r="3" spans="1:29" s="17" customFormat="1" ht="36" customHeight="1" x14ac:dyDescent="0.25">
      <c r="A3" s="17" t="s">
        <v>55</v>
      </c>
      <c r="B3" s="17" t="s">
        <v>56</v>
      </c>
      <c r="C3" s="17" t="s">
        <v>301</v>
      </c>
      <c r="D3" s="17" t="s">
        <v>302</v>
      </c>
      <c r="E3" s="17" t="s">
        <v>303</v>
      </c>
      <c r="F3" s="17" t="s">
        <v>304</v>
      </c>
      <c r="G3" s="17" t="s">
        <v>305</v>
      </c>
      <c r="H3" s="17" t="s">
        <v>57</v>
      </c>
      <c r="I3" s="17" t="s">
        <v>307</v>
      </c>
      <c r="J3" s="17" t="s">
        <v>308</v>
      </c>
      <c r="K3" s="17" t="s">
        <v>309</v>
      </c>
      <c r="L3" s="17" t="s">
        <v>310</v>
      </c>
      <c r="M3" s="17" t="s">
        <v>311</v>
      </c>
      <c r="N3" s="17" t="s">
        <v>312</v>
      </c>
      <c r="O3" s="17" t="s">
        <v>58</v>
      </c>
      <c r="P3" s="17" t="s">
        <v>315</v>
      </c>
      <c r="Q3" s="17" t="s">
        <v>359</v>
      </c>
      <c r="R3" s="17" t="s">
        <v>60</v>
      </c>
      <c r="S3" s="17" t="s">
        <v>61</v>
      </c>
      <c r="T3" s="17" t="s">
        <v>62</v>
      </c>
      <c r="U3" s="17" t="s">
        <v>314</v>
      </c>
      <c r="V3" s="17" t="s">
        <v>316</v>
      </c>
      <c r="W3" s="17" t="s">
        <v>317</v>
      </c>
      <c r="X3" s="17" t="s">
        <v>318</v>
      </c>
      <c r="Y3" s="17" t="s">
        <v>319</v>
      </c>
      <c r="Z3" s="17" t="s">
        <v>320</v>
      </c>
      <c r="AA3" s="17" t="s">
        <v>325</v>
      </c>
      <c r="AB3" s="17" t="s">
        <v>326</v>
      </c>
      <c r="AC3" s="34" t="s">
        <v>327</v>
      </c>
    </row>
    <row r="4" spans="1:29" x14ac:dyDescent="0.25">
      <c r="A4" s="35">
        <f>ROW()-3</f>
        <v>1</v>
      </c>
      <c r="B4" s="16"/>
      <c r="C4" s="16"/>
      <c r="D4" s="16"/>
      <c r="E4" s="16"/>
      <c r="F4" s="16"/>
      <c r="G4" s="18"/>
      <c r="H4" s="18"/>
      <c r="I4" s="32"/>
      <c r="J4" s="32"/>
      <c r="K4" s="32"/>
      <c r="L4" s="16"/>
      <c r="M4" s="16"/>
      <c r="N4" s="18"/>
      <c r="O4" s="22"/>
      <c r="P4" s="22"/>
      <c r="Q4" s="22"/>
      <c r="R4" s="22"/>
      <c r="S4" s="22"/>
      <c r="T4" s="22"/>
      <c r="U4" s="33"/>
      <c r="V4" s="19"/>
      <c r="W4" s="19"/>
      <c r="X4" s="20"/>
      <c r="Y4" s="19"/>
      <c r="Z4" s="21"/>
      <c r="AA4" s="36" cm="1">
        <f t="array" ref="AA4">Vorlauf(Tabelle13456[[#This Row],[Anbieter]])</f>
        <v>1</v>
      </c>
      <c r="AB4" s="37" t="str">
        <f>IFERROR(EDATE(Tabelle13456[[#This Row],[Vertragsende]], -Tabelle13456[[#This Row],[Vorlauf]]) + 1, "")</f>
        <v/>
      </c>
      <c r="AC4" s="37" t="str">
        <f>IFERROR(EDATE(Tabelle13456[[#This Row],[Vertragsende]], -Tabelle13456[[#This Row],[Vorlauf]] - 1) + 1, "")</f>
        <v/>
      </c>
    </row>
  </sheetData>
  <dataValidations disablePrompts="1" count="2">
    <dataValidation type="list" allowBlank="1" showInputMessage="1" showErrorMessage="1" sqref="N4" xr:uid="{8D01D88E-0787-4A30-B8F3-71C41B4B632E}">
      <formula1>"O,P"</formula1>
    </dataValidation>
    <dataValidation type="list" allowBlank="1" showInputMessage="1" showErrorMessage="1" sqref="G4:H4" xr:uid="{B87A50EF-2B69-4346-8AF9-BAFCCBBF74C9}">
      <formula1>"X"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AuACIALAAiAHQAaABvAHUAcwBhAG4AZABzAFMAZQBwAGEAcgBhAHQAbwByACIAOgAiAC4AIgAsACIAdABoAG8AdQBzAGEAbgBkAHMAUABvAHMAaQB0AGkAbwBuAHMAIgA6AFsAMwBdACwAIgBkAGUAYwBpAG0AYQBsAFMAZQBwAGEAcgBhAHQAbwByACIAOgAiACwAIgAsACIAZABhAHQAZQBPAHIAZABlAHIAIgA6ACIARABNAFkAIgAsACIAYwB1AHIAcgBlAG4AYwB5AFMAeQBtAGIAbwBsACIAOgAiAKwgIgAsACIAaQBzAEMAdQByAHIAZQBuAGMAeQBTAHkAbQBiAG8AbABMAGUAYQBkACIAOgBmAGEAbABzAGUALAAiAGkAcwBDAHUAcgByAGUAbgBjAHkAUwBlAHAAQgB5AFMAcABhAGMAZQAiADoAdAByAHUAZQAsACIAcgBvAHcATABlAHQAdABlAHIAIgA6ACIAWgAiACwAIgBjAG8AbAB1AG0AbgBMAGUAdAB0AGUAcgAiADoAIgBTACIALAAiAHIAYwBMAGUAZgB0AEIAcgBhAGMAawBlAHQAIgA6ACIAKAAiACwAIgByAGMAUgBpAGcAaAB0AEIAcgBhAGMAawBlAHQAIgA6ACIAKQAiACwAIgBzAHQAYQB0AGUAbQBlAG4AdABTAGUAcABhAHIAYQB0AG8AcgAiADoAIgA7ADsAIgAsACIAbABvAGMAYQBsAGUATgBhAG0AZQAiADoAIgBkAGUALQBkAGUAIgB9AH0A</AFEJSONBlob>
</file>

<file path=customXml/itemProps1.xml><?xml version="1.0" encoding="utf-8"?>
<ds:datastoreItem xmlns:ds="http://schemas.openxmlformats.org/officeDocument/2006/customXml" ds:itemID="{81E1DB8B-6001-4178-905C-44DD32C6C998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Kunde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Meyer</dc:creator>
  <cp:lastModifiedBy>Joachim Meyer</cp:lastModifiedBy>
  <dcterms:created xsi:type="dcterms:W3CDTF">2026-04-21T17:49:57Z</dcterms:created>
  <dcterms:modified xsi:type="dcterms:W3CDTF">2026-04-21T20:20:05Z</dcterms:modified>
</cp:coreProperties>
</file>