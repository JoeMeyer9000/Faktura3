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Faktura3\2026\Q2\"/>
    </mc:Choice>
  </mc:AlternateContent>
  <xr:revisionPtr revIDLastSave="0" documentId="13_ncr:1_{04D78591-3FEB-4288-809A-205CBF3AF9BF}" xr6:coauthVersionLast="47" xr6:coauthVersionMax="47" xr10:uidLastSave="{00000000-0000-0000-0000-000000000000}"/>
  <bookViews>
    <workbookView xWindow="-120" yWindow="-120" windowWidth="38640" windowHeight="21120" xr2:uid="{8447C29A-FB4B-4CB6-8F32-1E303CFC6589}"/>
  </bookViews>
  <sheets>
    <sheet name="Rechnung" sheetId="1" r:id="rId1"/>
  </sheets>
  <definedNames>
    <definedName name="Bearbeiter">Rechnung!$D$6</definedName>
    <definedName name="Brutto">Rechnung!$D$13</definedName>
    <definedName name="EMail">Rechnung!$B$4</definedName>
    <definedName name="KdNr">Rechnung!$D$5</definedName>
    <definedName name="Kunde">Rechnung!$A$2</definedName>
    <definedName name="LieferDatum">Rechnung!$D$7</definedName>
    <definedName name="Nachspann1">Rechnung!$B$15</definedName>
    <definedName name="Nachspann2">Rechnung!$B$16</definedName>
    <definedName name="Nachspann3">Rechnung!$B$17</definedName>
    <definedName name="Nachspann4">Rechnung!$B$18</definedName>
    <definedName name="Nachspann5">Rechnung!$B$19</definedName>
    <definedName name="Netto">Rechnung!$D$11</definedName>
    <definedName name="RCText">Rechnung!$A$12</definedName>
    <definedName name="ReDatum">Rechnung!$D$4</definedName>
    <definedName name="ReNr">Rechnung!$D$3</definedName>
    <definedName name="Steuer">Rechnung!$D$12</definedName>
    <definedName name="SteuerSatz">Rechnung!$C$12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C3" i="1"/>
  <c r="C7" i="1" l="1"/>
  <c r="D10" i="1"/>
  <c r="D11" i="1" s="1"/>
  <c r="A4" i="1"/>
  <c r="C12" i="1" l="1"/>
  <c r="A12" i="1" s="1"/>
  <c r="D12" i="1" l="1"/>
  <c r="D13" i="1" s="1"/>
</calcChain>
</file>

<file path=xl/sharedStrings.xml><?xml version="1.0" encoding="utf-8"?>
<sst xmlns="http://schemas.openxmlformats.org/spreadsheetml/2006/main" count="19" uniqueCount="19">
  <si>
    <t>TalkServ GmbH, Thalenhorststr. 15a, 28307 Bremen</t>
  </si>
  <si>
    <t>Anzahl</t>
  </si>
  <si>
    <t>Artikel</t>
  </si>
  <si>
    <t>Stückpreis</t>
  </si>
  <si>
    <t>Preis</t>
  </si>
  <si>
    <t xml:space="preserve">Datum </t>
  </si>
  <si>
    <t>Netto</t>
  </si>
  <si>
    <t>Gesamtsumme</t>
  </si>
  <si>
    <t xml:space="preserve">Bearbeiter </t>
  </si>
  <si>
    <t xml:space="preserve">Kunden-Nr. </t>
  </si>
  <si>
    <t>MPS Elektrotechnik GmbH_x000D_
In den Tieräckern 13-15_x000D_
89520 Heidenheim</t>
  </si>
  <si>
    <t>R26-11696</t>
  </si>
  <si>
    <t>RD</t>
  </si>
  <si>
    <t>Bitte zahlen Sie bis spätestens 16.04.2026 auf folgendes Konto:</t>
  </si>
  <si>
    <t>Bank: Kreissparkasse Verden</t>
  </si>
  <si>
    <t>IBAN: DE20 2915 2670 0020 9095 60</t>
  </si>
  <si>
    <t>Verwendungszweck "R26-11696"</t>
  </si>
  <si>
    <t>Achtung: neue Bankverbindung!</t>
  </si>
  <si>
    <t>iPhone 17 256GB Nebelblau _x000D_
IMEI 357998428185254, 0172-7494874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</si>
</sst>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0%\ &quot;MwSt.&quot;"/>
    <numFmt numFmtId="166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9" fontId="5" fillId="0" borderId="0" xfId="1" applyFont="1" applyFill="1" applyAlignment="1">
      <alignment vertical="center"/>
    </xf>
    <xf numFmtId="165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4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Prozent" xfId="1" builtinId="5"/>
    <cellStyle name="Standard" xfId="0" builtinId="0"/>
  </cellStyles>
  <dxfs count="10"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4" formatCode="#,##0.00\ &quot;€&quot;"/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border>
        <top style="thin">
          <color theme="1"/>
        </top>
      </border>
    </dxf>
    <dxf>
      <font>
        <b/>
        <i val="0"/>
        <strike val="0"/>
        <color theme="1"/>
      </font>
      <border>
        <top style="thin">
          <color auto="1"/>
        </top>
        <bottom style="thin">
          <color auto="1"/>
        </bottom>
      </border>
    </dxf>
    <dxf>
      <font>
        <color theme="1"/>
      </font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StyleLight1 2" pivot="0" count="4" xr9:uid="{AB08D617-D33D-4F91-9DA9-3EC60F87B852}">
      <tableStyleElement type="wholeTable" dxfId="9"/>
      <tableStyleElement type="headerRow" dxfId="8"/>
      <tableStyleElement type="totalRow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C3AA6-3A42-469E-842F-2E6A96C303A0}" name="Positionen" displayName="Positionen" ref="A9:D10" totalsRowShown="0" headerRowDxfId="5" dataDxfId="4">
  <autoFilter ref="A9:D10" xr:uid="{398C3AA6-3A42-469E-842F-2E6A96C303A0}">
    <filterColumn colId="0" hiddenButton="1"/>
    <filterColumn colId="1" hiddenButton="1"/>
    <filterColumn colId="2" hiddenButton="1"/>
    <filterColumn colId="3" hiddenButton="1"/>
  </autoFilter>
  <tableColumns count="4">
    <tableColumn id="1" xr3:uid="{202412B3-3851-441E-A510-7928A0FC9D89}" name="Anzahl" dataDxfId="3"/>
    <tableColumn id="2" xr3:uid="{68C817A8-9B44-4540-9900-B4DCC1629E5C}" name="Artikel" dataDxfId="2"/>
    <tableColumn id="3" xr3:uid="{BE9B5E48-A199-4E0F-A756-067181118870}" name="Stückpreis" dataDxfId="1"/>
    <tableColumn id="4" xr3:uid="{B821F99C-1667-4CCD-931F-34AD9F13602C}" name="Preis" dataDxfId="0">
      <calculatedColumnFormula>IF(ISBLANK(Positionen[[#This Row],[Anzahl]]), "", ROUND(Positionen[[#This Row],[Anzahl]] * Positionen[[#This Row],[Stückpreis]], 2))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71D7-B155-49D9-9E20-379B0E5C746D}">
  <sheetPr codeName="Tabelle1"/>
  <dimension ref="A1:D19"/>
  <sheetViews>
    <sheetView tabSelected="1" workbookViewId="0">
      <selection activeCell="D5" sqref="D5"/>
    </sheetView>
  </sheetViews>
  <sheetFormatPr baseColWidth="10" defaultRowHeight="15" x14ac:dyDescent="0.25"/>
  <cols>
    <col min="1" max="1" width="8" style="2" customWidth="1"/>
    <col min="2" max="2" width="48.28515625" style="2" customWidth="1"/>
    <col min="3" max="3" width="15.28515625" style="2" customWidth="1"/>
    <col min="4" max="4" width="13.7109375" style="2" customWidth="1"/>
    <col min="5" max="16384" width="11.42578125" style="2"/>
  </cols>
  <sheetData>
    <row r="1" spans="1:4" x14ac:dyDescent="0.25">
      <c r="A1" s="1" t="s">
        <v>0</v>
      </c>
    </row>
    <row r="2" spans="1:4" ht="67.5" customHeight="1" x14ac:dyDescent="0.25">
      <c r="A2" s="28" t="s">
        <v>10</v>
      </c>
      <c r="B2" s="28"/>
    </row>
    <row r="3" spans="1:4" x14ac:dyDescent="0.25">
      <c r="C3" s="3" t="str">
        <f>IF(LEFT(ReNr,1) ="R","Rechnung","Gutschrift") &amp; " Nr. "</f>
        <v xml:space="preserve">Rechnung Nr. </v>
      </c>
      <c r="D3" s="4" t="s">
        <v>11</v>
      </c>
    </row>
    <row r="4" spans="1:4" x14ac:dyDescent="0.25">
      <c r="A4" s="2" t="str">
        <f>IF(ISBLANK(EMail), "", "E-Mail:")</f>
        <v/>
      </c>
      <c r="C4" s="3" t="s">
        <v>5</v>
      </c>
      <c r="D4" s="5">
        <v>46114</v>
      </c>
    </row>
    <row r="5" spans="1:4" x14ac:dyDescent="0.25">
      <c r="C5" s="3" t="s">
        <v>9</v>
      </c>
      <c r="D5" s="6">
        <v>12005</v>
      </c>
    </row>
    <row r="6" spans="1:4" x14ac:dyDescent="0.25">
      <c r="C6" s="3" t="s">
        <v>8</v>
      </c>
      <c r="D6" s="6" t="s">
        <v>12</v>
      </c>
    </row>
    <row r="7" spans="1:4" x14ac:dyDescent="0.25">
      <c r="A7" s="27" t="str">
        <f>IF(LEFT(ReNr,1) ="R","Rechnung","Gutschrift") &amp; " " &amp; ReNr</f>
        <v>Rechnung R26-11696</v>
      </c>
      <c r="B7" s="27"/>
      <c r="C7" s="3" t="str">
        <f>IF(ISBLANK(LieferDatum),"","Lieferdatum")</f>
        <v>Lieferdatum</v>
      </c>
      <c r="D7" s="5">
        <v>46113</v>
      </c>
    </row>
    <row r="9" spans="1:4" x14ac:dyDescent="0.25">
      <c r="A9" s="7" t="s">
        <v>1</v>
      </c>
      <c r="B9" s="7" t="s">
        <v>2</v>
      </c>
      <c r="C9" s="8" t="s">
        <v>3</v>
      </c>
      <c r="D9" s="8" t="s">
        <v>4</v>
      </c>
    </row>
    <row r="10" spans="1:4" s="12" customFormat="1" ht="30" x14ac:dyDescent="0.25">
      <c r="A10" s="9">
        <v>10</v>
      </c>
      <c r="B10" s="10" t="s">
        <v>18</v>
      </c>
      <c r="C10" s="11">
        <v>646.6</v>
      </c>
      <c r="D10" s="11">
        <f>IF(ISBLANK(Positionen[[#This Row],[Anzahl]]), "", ROUND(Positionen[[#This Row],[Anzahl]] * Positionen[[#This Row],[Stückpreis]], 2))</f>
        <v>6466</v>
      </c>
    </row>
    <row r="11" spans="1:4" s="12" customFormat="1" x14ac:dyDescent="0.25">
      <c r="A11" s="13"/>
      <c r="B11" s="14"/>
      <c r="C11" s="15" t="s">
        <v>6</v>
      </c>
      <c r="D11" s="16">
        <f>ROUND(SUM(D10:D10), 2)</f>
        <v>6466</v>
      </c>
    </row>
    <row r="12" spans="1:4" s="12" customFormat="1" x14ac:dyDescent="0.25">
      <c r="A12" s="25" t="str">
        <f>IF(SteuerSatz = 0, "Steuerschuldnerschaft des Leistungsempfängers lt. §13b UStG", "")</f>
        <v>Steuerschuldnerschaft des Leistungsempfängers lt. §13b UStG</v>
      </c>
      <c r="B12" s="17"/>
      <c r="C12" s="18">
        <f>IF(Netto &gt;= 5000, 0%, 19%)</f>
        <v>0</v>
      </c>
      <c r="D12" s="19">
        <f>ROUND(Netto * SteuerSatz, 2)</f>
        <v>0</v>
      </c>
    </row>
    <row r="13" spans="1:4" ht="15.75" thickBot="1" x14ac:dyDescent="0.3">
      <c r="A13" s="14"/>
      <c r="B13" s="14"/>
      <c r="C13" s="20" t="s">
        <v>7</v>
      </c>
      <c r="D13" s="21">
        <f>ROUND(SUM(D11:D12), 2)</f>
        <v>6466</v>
      </c>
    </row>
    <row r="14" spans="1:4" ht="15.75" thickTop="1" x14ac:dyDescent="0.25">
      <c r="A14" s="22"/>
      <c r="B14" s="22"/>
      <c r="C14" s="23"/>
      <c r="D14" s="24">
        <v>14</v>
      </c>
    </row>
    <row r="15" spans="1:4" s="14" customFormat="1" ht="15" customHeight="1" x14ac:dyDescent="0.25">
      <c r="A15" s="6"/>
      <c r="B15" s="14" t="s">
        <v>13</v>
      </c>
      <c r="C15" s="2"/>
      <c r="D15" s="2"/>
    </row>
    <row r="16" spans="1:4" s="14" customFormat="1" ht="15" customHeight="1" x14ac:dyDescent="0.25">
      <c r="A16" s="6"/>
      <c r="B16" s="14" t="s">
        <v>14</v>
      </c>
      <c r="C16" s="2"/>
      <c r="D16" s="2"/>
    </row>
    <row r="17" spans="1:4" s="22" customFormat="1" x14ac:dyDescent="0.25">
      <c r="A17" s="2"/>
      <c r="B17" s="22" t="s">
        <v>15</v>
      </c>
      <c r="C17" s="2"/>
      <c r="D17" s="2"/>
    </row>
    <row r="18" spans="1:4" s="22" customFormat="1" ht="15" customHeight="1" x14ac:dyDescent="0.25">
      <c r="A18" s="2"/>
      <c r="B18" s="22" t="s">
        <v>16</v>
      </c>
      <c r="C18" s="2"/>
      <c r="D18" s="2"/>
    </row>
    <row r="19" spans="1:4" x14ac:dyDescent="0.25">
      <c r="B19" s="26" t="s">
        <v>17</v>
      </c>
    </row>
  </sheetData>
  <mergeCells count="2">
    <mergeCell ref="A7:B7"/>
    <mergeCell ref="A2:B2"/>
  </mergeCells>
  <pageMargins left="0.9055118110236221" right="0.59055118110236227" top="1.5748031496062993" bottom="0.74803149606299213" header="0.31496062992125984" footer="0.31496062992125984"/>
  <pageSetup paperSize="9" fitToHeight="0" orientation="portrait" horizontalDpi="4294967293" verticalDpi="0" r:id="rId1"/>
  <headerFooter>
    <oddHeader>&amp;R&amp;"Montserrat,Standard"&amp;10&amp;G
TalkServ GmbH
Thalenhorststr. 15a
28307 Bremen
Tel. 0421-221592-00
info@talkserv.de</oddHeader>
    <oddFooter>&amp;C&amp;"Montserrat,Standard"&amp;8Geschäftsführer: Joachim Meyer, Amtsgericht Bremen HRB 25136 HB, USt-ID DE261520925
Kreissparkasse Verden, IBAN DE20 2915 2670 0020 9095 60</oddFooter>
  </headerFooter>
  <ignoredErrors>
    <ignoredError sqref="C13 C12" evalError="1"/>
    <ignoredError sqref="D12" evalError="1" formula="1"/>
  </ignoredError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022242B0FA754895983687E40C5944" ma:contentTypeVersion="13" ma:contentTypeDescription="Ein neues Dokument erstellen." ma:contentTypeScope="" ma:versionID="e0af8390dce88dec6c8e4268a89a0009">
  <xsd:schema xmlns:xsd="http://www.w3.org/2001/XMLSchema" xmlns:xs="http://www.w3.org/2001/XMLSchema" xmlns:p="http://schemas.microsoft.com/office/2006/metadata/properties" xmlns:ns2="51ef5d3b-d653-42a4-add8-264426d78878" xmlns:ns3="c7246570-ebc5-4d46-bfb6-2bb15f49e607" targetNamespace="http://schemas.microsoft.com/office/2006/metadata/properties" ma:root="true" ma:fieldsID="bfffb4cac3116553a071a02667a615cb" ns2:_="" ns3:_="">
    <xsd:import namespace="51ef5d3b-d653-42a4-add8-264426d78878"/>
    <xsd:import namespace="c7246570-ebc5-4d46-bfb6-2bb15f49e6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f5d3b-d653-42a4-add8-264426d78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7a838f58-fd73-42ff-b9ee-0ffd44b2bd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46570-ebc5-4d46-bfb6-2bb15f49e6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7a8ad2-09fc-4855-826f-87d8ee6320cb}" ma:internalName="TaxCatchAll" ma:showField="CatchAllData" ma:web="c7246570-ebc5-4d46-bfb6-2bb15f49e6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f5d3b-d653-42a4-add8-264426d78878">
      <Terms xmlns="http://schemas.microsoft.com/office/infopath/2007/PartnerControls"/>
    </lcf76f155ced4ddcb4097134ff3c332f>
    <TaxCatchAll xmlns="c7246570-ebc5-4d46-bfb6-2bb15f49e6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038F2-BD8A-415B-9D01-A92B7F522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f5d3b-d653-42a4-add8-264426d78878"/>
    <ds:schemaRef ds:uri="c7246570-ebc5-4d46-bfb6-2bb15f49e6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EA8038-E06C-4508-8192-FED0D244EE1C}">
  <ds:schemaRefs>
    <ds:schemaRef ds:uri="http://schemas.microsoft.com/office/2006/metadata/properties"/>
    <ds:schemaRef ds:uri="http://schemas.microsoft.com/office/infopath/2007/PartnerControls"/>
    <ds:schemaRef ds:uri="51ef5d3b-d653-42a4-add8-264426d78878"/>
    <ds:schemaRef ds:uri="c7246570-ebc5-4d46-bfb6-2bb15f49e607"/>
  </ds:schemaRefs>
</ds:datastoreItem>
</file>

<file path=customXml/itemProps3.xml><?xml version="1.0" encoding="utf-8"?>
<ds:datastoreItem xmlns:ds="http://schemas.openxmlformats.org/officeDocument/2006/customXml" ds:itemID="{AE192174-18BA-48A7-A32D-2EC0F92514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17</vt:i4>
      </vt:variant>
    </vt:vector>
  </HeadingPairs>
  <TitlesOfParts>
    <vt:vector size="18" baseType="lpstr">
      <vt:lpstr>Rechnung</vt:lpstr>
      <vt:lpstr>Bearbeiter</vt:lpstr>
      <vt:lpstr>Brutto</vt:lpstr>
      <vt:lpstr>EMail</vt:lpstr>
      <vt:lpstr>KdNr</vt:lpstr>
      <vt:lpstr>Kunde</vt:lpstr>
      <vt:lpstr>LieferDatum</vt:lpstr>
      <vt:lpstr>Nachspann1</vt:lpstr>
      <vt:lpstr>Nachspann2</vt:lpstr>
      <vt:lpstr>Nachspann3</vt:lpstr>
      <vt:lpstr>Nachspann4</vt:lpstr>
      <vt:lpstr>Nachspann5</vt:lpstr>
      <vt:lpstr>Netto</vt:lpstr>
      <vt:lpstr>RCText</vt:lpstr>
      <vt:lpstr>ReDatum</vt:lpstr>
      <vt:lpstr>ReNr</vt:lpstr>
      <vt:lpstr>Steuer</vt:lpstr>
      <vt:lpstr>SteuerSatz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Demirtas</dc:creator>
  <cp:lastModifiedBy>Joachim Meyer</cp:lastModifiedBy>
  <cp:lastPrinted>2025-06-12T07:32:08Z</cp:lastPrinted>
  <dcterms:created xsi:type="dcterms:W3CDTF">2021-04-30T07:45:36Z</dcterms:created>
  <dcterms:modified xsi:type="dcterms:W3CDTF">2026-04-14T15:43:47Z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0x010100CE022242B0FA754895983687E40C5944</vt:lpwstr>
  </property>
  <property fmtid="{D5CDD505-2E9C-101B-9397-08002B2CF9AE}" pid="3" name="MediaServiceImageTags">
    <vt:lpwstr/>
  </property>
</Properties>
</file>