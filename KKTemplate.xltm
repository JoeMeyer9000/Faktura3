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oachimMeyer\OneDrive - TalkServ GmbH\Dokumente\Benutzerdefinierte Office-Vorlagen\"/>
    </mc:Choice>
  </mc:AlternateContent>
  <xr:revisionPtr revIDLastSave="0" documentId="8_{D42D7E9B-7D43-4BBE-BA99-C21F8C981709}" xr6:coauthVersionLast="47" xr6:coauthVersionMax="47" xr10:uidLastSave="{00000000-0000-0000-0000-000000000000}"/>
  <bookViews>
    <workbookView xWindow="-120" yWindow="-120" windowWidth="38640" windowHeight="21120" activeTab="1" xr2:uid="{74805A15-68B5-4FDE-B689-8143EE5DAD5D}"/>
  </bookViews>
  <sheets>
    <sheet name="Kunde" sheetId="1" r:id="rId1"/>
    <sheet name="1" sheetId="3" r:id="rId2"/>
  </sheets>
  <definedNames>
    <definedName name="_xlpm.Anbieter" hidden="1" xlm="1">#NAME?</definedName>
    <definedName name="_xlpm.Name1" hidden="1" xlm="1">#NAME?</definedName>
    <definedName name="_xlpm.Name2" hidden="1" xlm="1">#NAME?</definedName>
    <definedName name="Fullname">_xlfn.LAMBDA(_xlpm.Name1,_xlpm.Name2,_xlpm.Name1 &amp; IF(_xlpm.Name2 = "", "", " " &amp; _xlpm.Name2))</definedName>
    <definedName name="Vorlauf">_xlfn.LAMBDA(_xlpm.Anbieter,_xlfn.IFS(_xlpm.Anbieter = "D1", 6, _xlpm.Anbieter = "TM", 6, _xlpm.Anbieter = "D2", 1, _xlpm.Anbieter = "O2", 1, _xlpm.Anbieter = "Telefonica", 1, _xlpm.Anbieter = "Telefónica", 1, _xlpm.Anbieter = "E+", 1, _xlpm.Anbieter = "Freenet", 1, TRUE(), 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4" i="3" l="1"/>
  <c r="Z4" i="3" a="1"/>
  <c r="Z4" i="3" s="1"/>
  <c r="C1" i="3" a="1"/>
  <c r="C1" i="3" s="1"/>
  <c r="AA4" i="3" l="1"/>
  <c r="AB4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<sst xmlns="http://schemas.openxmlformats.org/spreadsheetml/2006/main" count="71" uniqueCount="68">
  <si>
    <t>Vertragspartner</t>
  </si>
  <si>
    <t>Rechnungsempfänger</t>
  </si>
  <si>
    <t>Name</t>
  </si>
  <si>
    <t>Strasse</t>
  </si>
  <si>
    <t>PLZ, Ort</t>
  </si>
  <si>
    <t>Bank</t>
  </si>
  <si>
    <t>IBAN</t>
  </si>
  <si>
    <t>BIC</t>
  </si>
  <si>
    <t>Nummer</t>
  </si>
  <si>
    <t>Ort</t>
  </si>
  <si>
    <t>Gutschriften</t>
  </si>
  <si>
    <t>Bankverbindung</t>
  </si>
  <si>
    <t>Handelsregister</t>
  </si>
  <si>
    <t>Gewerbeschein</t>
  </si>
  <si>
    <t>Anrede</t>
  </si>
  <si>
    <t>Nachname</t>
  </si>
  <si>
    <t>Vorname</t>
  </si>
  <si>
    <t>Telefon</t>
  </si>
  <si>
    <t>Mobil</t>
  </si>
  <si>
    <t>Ausweis-Nr.</t>
  </si>
  <si>
    <t>Titel/Abteilung</t>
  </si>
  <si>
    <t>Ansprechpartner</t>
  </si>
  <si>
    <t>Notizen</t>
  </si>
  <si>
    <t>Geburtsdatum</t>
  </si>
  <si>
    <t>Kartenanzahl</t>
  </si>
  <si>
    <t>Kunde seit</t>
  </si>
  <si>
    <t>Vertriebler</t>
  </si>
  <si>
    <t>Rechnung vom</t>
  </si>
  <si>
    <t>Kennwort</t>
  </si>
  <si>
    <t>Zahlungsart</t>
  </si>
  <si>
    <t>Analyse vom</t>
  </si>
  <si>
    <t>Sonstiges</t>
  </si>
  <si>
    <t>Haupt-Asp</t>
  </si>
  <si>
    <t>Kunden-Karteikarte</t>
  </si>
  <si>
    <t>E-Mail</t>
  </si>
  <si>
    <t>Nr.</t>
  </si>
  <si>
    <t>Rufnummer</t>
  </si>
  <si>
    <t>Multi Ultra</t>
  </si>
  <si>
    <t>Anbieter</t>
  </si>
  <si>
    <t xml:space="preserve">Option </t>
  </si>
  <si>
    <t>Option 2</t>
  </si>
  <si>
    <t>Option 3</t>
  </si>
  <si>
    <t>SIM-Nr</t>
  </si>
  <si>
    <t>Kundenkonto</t>
  </si>
  <si>
    <t>Kunden-Nr</t>
  </si>
  <si>
    <t>RV</t>
  </si>
  <si>
    <t>Künd.</t>
  </si>
  <si>
    <t>Vertragsende</t>
  </si>
  <si>
    <t>VVL</t>
  </si>
  <si>
    <t>WV</t>
  </si>
  <si>
    <t>Nutzer</t>
  </si>
  <si>
    <t>Kost</t>
  </si>
  <si>
    <t>RG Form</t>
  </si>
  <si>
    <t>Aktiviert</t>
  </si>
  <si>
    <t>Tarif aktuell</t>
  </si>
  <si>
    <t>Tarif neu</t>
  </si>
  <si>
    <t>Handy</t>
  </si>
  <si>
    <t>Gutschrift</t>
  </si>
  <si>
    <t>RG-Nummer</t>
  </si>
  <si>
    <t>Provision</t>
  </si>
  <si>
    <t>Vertrag</t>
  </si>
  <si>
    <t>Aktuell</t>
  </si>
  <si>
    <t>Vertragseingabe</t>
  </si>
  <si>
    <t>Verträge von</t>
  </si>
  <si>
    <t>Vorlauf</t>
  </si>
  <si>
    <t>VVL Datum</t>
  </si>
  <si>
    <t>WV Datum</t>
  </si>
  <si>
    <t>Kundennummer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</si>
</sst>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0" x14ac:knownFonts="1">
    <font>
      <sz val="11"/>
      <color theme="1"/>
      <name val="Aptos Display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0"/>
      <color theme="1"/>
      <name val="Aptos Display"/>
      <family val="2"/>
    </font>
    <font>
      <b/>
      <sz val="12"/>
      <color theme="6"/>
      <name val="Aptos Display"/>
      <family val="2"/>
    </font>
    <font>
      <b/>
      <sz val="11"/>
      <color theme="6"/>
      <name val="Aptos Display"/>
      <family val="2"/>
    </font>
    <font>
      <sz val="10"/>
      <color theme="6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DF6FB"/>
        <bgColor indexed="64"/>
      </patternFill>
    </fill>
    <fill>
      <patternFill patternType="solid">
        <fgColor rgb="FFF3FFF3"/>
        <bgColor indexed="64"/>
      </patternFill>
    </fill>
    <fill>
      <patternFill patternType="solid">
        <fgColor rgb="FFFFFFEB"/>
        <bgColor indexed="64"/>
      </patternFill>
    </fill>
  </fills>
  <borders count="11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indexed="64"/>
      </left>
      <right/>
      <top style="thin">
        <color theme="6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49" fontId="3" fillId="4" borderId="1" xfId="0" applyNumberFormat="1" applyFont="1" applyFill="1" applyBorder="1" applyAlignment="1" applyProtection="1">
      <alignment horizontal="left" vertical="top"/>
      <protection locked="0"/>
    </xf>
    <xf numFmtId="49" fontId="1" fillId="4" borderId="1" xfId="0" applyNumberFormat="1" applyFont="1" applyFill="1" applyBorder="1" applyAlignment="1" applyProtection="1">
      <alignment horizontal="left" vertical="top"/>
      <protection locked="0"/>
    </xf>
    <xf numFmtId="14" fontId="1" fillId="4" borderId="1" xfId="0" applyNumberFormat="1" applyFont="1" applyFill="1" applyBorder="1" applyAlignment="1" applyProtection="1">
      <alignment horizontal="left" vertical="top"/>
      <protection locked="0"/>
    </xf>
    <xf numFmtId="1" fontId="1" fillId="4" borderId="1" xfId="0" applyNumberFormat="1" applyFont="1" applyFill="1" applyBorder="1" applyAlignment="1" applyProtection="1">
      <alignment horizontal="left" vertical="top"/>
      <protection locked="0"/>
    </xf>
    <xf numFmtId="0" fontId="1" fillId="4" borderId="1" xfId="0" applyFont="1" applyFill="1" applyBorder="1" applyAlignment="1" applyProtection="1">
      <alignment horizontal="left" vertical="top"/>
      <protection locked="0"/>
    </xf>
    <xf numFmtId="49" fontId="1" fillId="4" borderId="1" xfId="0" applyNumberFormat="1" applyFont="1" applyFill="1" applyBorder="1" applyAlignment="1" applyProtection="1">
      <alignment vertical="top"/>
      <protection locked="0"/>
    </xf>
    <xf numFmtId="49" fontId="1" fillId="4" borderId="1" xfId="0" applyNumberFormat="1" applyFont="1" applyFill="1" applyBorder="1" applyAlignment="1" applyProtection="1">
      <alignment horizontal="center" vertical="top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Continuous" vertical="center"/>
    </xf>
    <xf numFmtId="0" fontId="4" fillId="2" borderId="0" xfId="0" applyFont="1" applyFill="1" applyAlignment="1">
      <alignment horizontal="centerContinuous" vertical="center"/>
    </xf>
    <xf numFmtId="0" fontId="1" fillId="0" borderId="0" xfId="0" applyFont="1" applyAlignment="1">
      <alignment horizontal="right"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2" fillId="2" borderId="0" xfId="0" applyFont="1" applyFill="1" applyAlignment="1">
      <alignment horizontal="centerContinuous" vertical="top"/>
    </xf>
    <xf numFmtId="0" fontId="6" fillId="0" borderId="0" xfId="0" applyFont="1" applyAlignment="1">
      <alignment horizontal="left" vertical="top"/>
    </xf>
    <xf numFmtId="49" fontId="6" fillId="0" borderId="0" xfId="0" applyNumberFormat="1" applyFont="1" applyAlignment="1">
      <alignment horizontal="left" vertical="top"/>
    </xf>
    <xf numFmtId="0" fontId="6" fillId="0" borderId="0" xfId="0" applyFont="1" applyAlignment="1">
      <alignment horizontal="left" vertical="top" wrapText="1"/>
    </xf>
    <xf numFmtId="49" fontId="6" fillId="0" borderId="0" xfId="0" applyNumberFormat="1" applyFont="1" applyAlignment="1">
      <alignment horizontal="center" vertical="top"/>
    </xf>
    <xf numFmtId="49" fontId="6" fillId="5" borderId="0" xfId="0" applyNumberFormat="1" applyFont="1" applyFill="1" applyAlignment="1">
      <alignment horizontal="left" vertical="top"/>
    </xf>
    <xf numFmtId="4" fontId="6" fillId="5" borderId="0" xfId="0" applyNumberFormat="1" applyFont="1" applyFill="1" applyAlignment="1">
      <alignment horizontal="left" vertical="top"/>
    </xf>
    <xf numFmtId="4" fontId="6" fillId="5" borderId="0" xfId="0" applyNumberFormat="1" applyFont="1" applyFill="1" applyAlignment="1">
      <alignment horizontal="right" vertical="top"/>
    </xf>
    <xf numFmtId="49" fontId="6" fillId="6" borderId="0" xfId="0" applyNumberFormat="1" applyFont="1" applyFill="1" applyAlignment="1">
      <alignment horizontal="left" vertical="top"/>
    </xf>
    <xf numFmtId="0" fontId="8" fillId="3" borderId="0" xfId="0" applyFont="1" applyFill="1" applyAlignment="1">
      <alignment horizontal="centerContinuous" vertical="center"/>
    </xf>
    <xf numFmtId="0" fontId="9" fillId="0" borderId="0" xfId="0" applyFont="1" applyAlignment="1">
      <alignment horizontal="left" vertical="top"/>
    </xf>
    <xf numFmtId="0" fontId="8" fillId="3" borderId="10" xfId="0" applyFont="1" applyFill="1" applyBorder="1" applyAlignment="1">
      <alignment horizontal="centerContinuous" vertical="center"/>
    </xf>
    <xf numFmtId="0" fontId="8" fillId="3" borderId="3" xfId="0" applyFont="1" applyFill="1" applyBorder="1" applyAlignment="1">
      <alignment horizontal="centerContinuous" vertical="center"/>
    </xf>
    <xf numFmtId="0" fontId="8" fillId="3" borderId="4" xfId="0" applyFont="1" applyFill="1" applyBorder="1" applyAlignment="1">
      <alignment horizontal="centerContinuous" vertical="center"/>
    </xf>
    <xf numFmtId="0" fontId="7" fillId="4" borderId="8" xfId="0" applyFont="1" applyFill="1" applyBorder="1" applyAlignment="1">
      <alignment horizontal="left" vertical="center" indent="1"/>
    </xf>
    <xf numFmtId="0" fontId="7" fillId="4" borderId="8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164" fontId="6" fillId="0" borderId="0" xfId="0" applyNumberFormat="1" applyFont="1" applyAlignment="1">
      <alignment horizontal="left" vertical="top"/>
    </xf>
    <xf numFmtId="164" fontId="6" fillId="5" borderId="0" xfId="0" applyNumberFormat="1" applyFont="1" applyFill="1" applyAlignment="1">
      <alignment horizontal="left" vertical="top"/>
    </xf>
    <xf numFmtId="1" fontId="6" fillId="3" borderId="0" xfId="0" applyNumberFormat="1" applyFont="1" applyFill="1" applyAlignment="1">
      <alignment horizontal="left" vertical="top"/>
    </xf>
    <xf numFmtId="1" fontId="6" fillId="3" borderId="0" xfId="0" applyNumberFormat="1" applyFont="1" applyFill="1" applyAlignment="1">
      <alignment horizontal="center" vertical="top"/>
    </xf>
    <xf numFmtId="164" fontId="6" fillId="3" borderId="0" xfId="0" applyNumberFormat="1" applyFont="1" applyFill="1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1" fillId="4" borderId="2" xfId="0" applyFont="1" applyFill="1" applyBorder="1" applyAlignment="1" applyProtection="1">
      <alignment horizontal="left" vertical="top" wrapText="1"/>
      <protection locked="0"/>
    </xf>
    <xf numFmtId="0" fontId="1" fillId="4" borderId="3" xfId="0" applyFont="1" applyFill="1" applyBorder="1" applyAlignment="1" applyProtection="1">
      <alignment horizontal="left" vertical="top" wrapText="1"/>
      <protection locked="0"/>
    </xf>
    <xf numFmtId="0" fontId="1" fillId="4" borderId="4" xfId="0" applyFont="1" applyFill="1" applyBorder="1" applyAlignment="1" applyProtection="1">
      <alignment horizontal="left" vertical="top" wrapText="1"/>
      <protection locked="0"/>
    </xf>
    <xf numFmtId="0" fontId="1" fillId="4" borderId="5" xfId="0" applyFont="1" applyFill="1" applyBorder="1" applyAlignment="1" applyProtection="1">
      <alignment horizontal="left" vertical="top" wrapText="1"/>
      <protection locked="0"/>
    </xf>
    <xf numFmtId="0" fontId="1" fillId="4" borderId="0" xfId="0" applyFont="1" applyFill="1" applyAlignment="1" applyProtection="1">
      <alignment horizontal="left" vertical="top" wrapText="1"/>
      <protection locked="0"/>
    </xf>
    <xf numFmtId="0" fontId="1" fillId="4" borderId="6" xfId="0" applyFont="1" applyFill="1" applyBorder="1" applyAlignment="1" applyProtection="1">
      <alignment horizontal="left" vertical="top" wrapText="1"/>
      <protection locked="0"/>
    </xf>
    <xf numFmtId="0" fontId="1" fillId="4" borderId="7" xfId="0" applyFont="1" applyFill="1" applyBorder="1" applyAlignment="1" applyProtection="1">
      <alignment horizontal="left" vertical="top" wrapText="1"/>
      <protection locked="0"/>
    </xf>
    <xf numFmtId="0" fontId="1" fillId="4" borderId="8" xfId="0" applyFont="1" applyFill="1" applyBorder="1" applyAlignment="1" applyProtection="1">
      <alignment horizontal="left" vertical="top" wrapText="1"/>
      <protection locked="0"/>
    </xf>
    <xf numFmtId="0" fontId="1" fillId="4" borderId="9" xfId="0" applyFont="1" applyFill="1" applyBorder="1" applyAlignment="1" applyProtection="1">
      <alignment horizontal="left" vertical="top" wrapText="1"/>
      <protection locked="0"/>
    </xf>
  </cellXfs>
  <cellStyles count="1">
    <cellStyle name="Standard" xfId="0" builtinId="0"/>
  </cellStyles>
  <dxfs count="32">
    <dxf>
      <font>
        <strike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4" formatCode="#,##0.00"/>
      <fill>
        <patternFill patternType="solid">
          <fgColor indexed="64"/>
          <bgColor rgb="FFF3FFF3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4" formatCode="#,##0.00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" formatCode="0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EDF6FB"/>
      <color rgb="FFFFFFEB"/>
      <color rgb="FFF3FFF3"/>
      <color rgb="FFE9FFE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CF717-A286-4CB3-9334-EDB5194BB3BD}" name="Tabelle1" displayName="Tabelle1" ref="A3:AB4" totalsRowShown="0" headerRowDxfId="31" dataDxfId="30">
  <autoFilter ref="A3:AB4" xr:uid="{55ECF717-A286-4CB3-9334-EDB5194BB3BD}"/>
  <tableColumns count="28">
    <tableColumn id="1" xr3:uid="{6F2E3A6B-82E8-4371-9DBA-43316C53EE7A}" name="Nr." dataDxfId="29">
      <calculatedColumnFormula>ROW()-3</calculatedColumnFormula>
    </tableColumn>
    <tableColumn id="2" xr3:uid="{1374F507-5AA0-4A5B-B965-2E44903B24C3}" name="Rufnummer" dataDxfId="28"/>
    <tableColumn id="3" xr3:uid="{F17321E0-B404-42BA-A23A-591C7CF134FD}" name="SIM-Nr" dataDxfId="27"/>
    <tableColumn id="4" xr3:uid="{C1E56345-8BC1-49D6-8A27-D253D77B41C0}" name="Kundenkonto" dataDxfId="26"/>
    <tableColumn id="5" xr3:uid="{E9AD10C1-4719-4204-9C79-1DDE8F37E6FD}" name="Kunden-Nr" dataDxfId="25"/>
    <tableColumn id="6" xr3:uid="{23D27228-1D21-4C8D-BDF4-732B8761B388}" name="RV" dataDxfId="24"/>
    <tableColumn id="7" xr3:uid="{5234EA88-81D2-49A8-9DBC-E370AAF0889A}" name="Künd." dataDxfId="23"/>
    <tableColumn id="8" xr3:uid="{83F71C1A-1761-4712-8120-8E92843A6F37}" name="Multi Ultra" dataDxfId="22"/>
    <tableColumn id="9" xr3:uid="{AB13B717-6E86-42F6-8CA7-BB0F95BE5BA8}" name="Vertragsende" dataDxfId="21"/>
    <tableColumn id="10" xr3:uid="{A041BCE1-657F-4487-BE69-9CCF0B874687}" name="VVL Datum" dataDxfId="20"/>
    <tableColumn id="11" xr3:uid="{602EDA75-F6EA-4D0E-9C53-12B17E6F0D1B}" name="WV Datum" dataDxfId="19"/>
    <tableColumn id="12" xr3:uid="{762BEABC-7B4A-4939-B03F-B36A0D2D12FE}" name="Nutzer" dataDxfId="18"/>
    <tableColumn id="13" xr3:uid="{3AFCE531-91A8-43D0-8975-1ED0B46C1CE8}" name="Kost" dataDxfId="17"/>
    <tableColumn id="14" xr3:uid="{4B2A57F7-8D09-4469-A52B-1253E1ED3FE2}" name="RG Form" dataDxfId="16"/>
    <tableColumn id="15" xr3:uid="{122899F3-BF80-4D01-B5AE-68E8DCC39DFE}" name="Anbieter" dataDxfId="15"/>
    <tableColumn id="16" xr3:uid="{D332CFC2-AA1E-4992-A448-4334CCB37068}" name="Tarif aktuell" dataDxfId="14"/>
    <tableColumn id="17" xr3:uid="{A50494E2-0F1F-4E85-8DB2-82808D2F2F7A}" name="Option " dataDxfId="13"/>
    <tableColumn id="18" xr3:uid="{D7FF3061-E6D4-4A67-AC49-8BD0CDA20800}" name="Option 2" dataDxfId="12"/>
    <tableColumn id="19" xr3:uid="{DE9E8CCB-254F-4DEA-989D-01F799DE094B}" name="Option 3" dataDxfId="11"/>
    <tableColumn id="21" xr3:uid="{4B00E50B-A966-44A3-B813-E6A339E03265}" name="Aktiviert" dataDxfId="10"/>
    <tableColumn id="22" xr3:uid="{5F1B9C0D-ABCB-4EBA-982E-F47F715F3B95}" name="Tarif neu" dataDxfId="9"/>
    <tableColumn id="23" xr3:uid="{F7DD3382-5EA3-4FAA-9EAF-35496AC4C1FC}" name="Handy" dataDxfId="8"/>
    <tableColumn id="26" xr3:uid="{BD263BD9-30D1-4DDB-8C87-DD13DD3DC880}" name="Gutschrift" dataDxfId="7"/>
    <tableColumn id="24" xr3:uid="{77344EDF-24B5-4352-A5B5-27A3935E9FDC}" name="RG-Nummer" dataDxfId="6"/>
    <tableColumn id="25" xr3:uid="{1BD23DDA-2BC1-496A-81D5-21D1B3ED5482}" name="Provision" dataDxfId="5"/>
    <tableColumn id="27" xr3:uid="{9AF241E9-0EEF-4EB9-AD80-CC7048FBB0E4}" name="Vorlauf" dataDxfId="4">
      <calculatedColumnFormula array="1">Vorlauf(Tabelle1[[#This Row],[Anbieter]])</calculatedColumnFormula>
    </tableColumn>
    <tableColumn id="28" xr3:uid="{7F0C6A1A-7D04-4440-8827-9E664D492244}" name="VVL" dataDxfId="3">
      <calculatedColumnFormula>IFERROR(EDATE(Tabelle1[[#This Row],[Vertragsende]], -Tabelle1[[#This Row],[Vorlauf]]) + 1, "")</calculatedColumnFormula>
    </tableColumn>
    <tableColumn id="29" xr3:uid="{CE0AD4C8-FDE5-4118-8590-88D448441050}" name="WV" dataDxfId="2">
      <calculatedColumnFormula>IFERROR(EDATE(Tabelle1[[#This Row],[Vertragsende]], -Tabelle1[[#This Row],[Vorlauf]] - 1) + 1, "")</calculatedColumnFormula>
    </tableColumn>
  </tableColumns>
  <tableStyleInfo name="TableStyleLight11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339E211-45DB-4627-B66B-3666D9EC6D43}">
  <we:reference id="WA200003696" version="1.3.0.0" store="Omex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81E1DB8B-6001-4178-905C-44DD32C6C998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5BF30-32D5-41DD-B5F3-14A8E70655D4}">
  <sheetPr codeName="Tabelle1"/>
  <dimension ref="A1:I28"/>
  <sheetViews>
    <sheetView showGridLines="0" workbookViewId="0">
      <selection activeCell="E17" sqref="E17:H28"/>
    </sheetView>
  </sheetViews>
  <sheetFormatPr baseColWidth="10" defaultRowHeight="15" x14ac:dyDescent="0.25"/>
  <cols>
    <col min="1" max="1" width="16.125" style="11" customWidth="1"/>
    <col min="2" max="3" width="30.625" style="12" customWidth="1"/>
    <col min="4" max="4" width="16.375" style="11" customWidth="1"/>
    <col min="5" max="8" width="30.625" style="13" customWidth="1"/>
    <col min="9" max="16384" width="11" style="13"/>
  </cols>
  <sheetData>
    <row r="1" spans="1:9" s="8" customFormat="1" ht="24.75" customHeight="1" x14ac:dyDescent="0.25">
      <c r="A1" s="9" t="s">
        <v>33</v>
      </c>
      <c r="B1" s="10"/>
      <c r="C1" s="10"/>
      <c r="D1" s="10"/>
      <c r="E1" s="10"/>
      <c r="F1" s="10"/>
      <c r="G1" s="10"/>
      <c r="H1" s="10"/>
      <c r="I1" s="10"/>
    </row>
    <row r="2" spans="1:9" ht="7.5" customHeight="1" x14ac:dyDescent="0.25"/>
    <row r="3" spans="1:9" x14ac:dyDescent="0.25">
      <c r="B3" s="14" t="s">
        <v>0</v>
      </c>
      <c r="C3" s="14" t="s">
        <v>1</v>
      </c>
      <c r="E3" s="14" t="s">
        <v>21</v>
      </c>
      <c r="F3" s="14"/>
      <c r="G3" s="14"/>
      <c r="H3" s="14"/>
    </row>
    <row r="4" spans="1:9" x14ac:dyDescent="0.25">
      <c r="A4" s="11" t="s">
        <v>2</v>
      </c>
      <c r="B4" s="1"/>
      <c r="C4" s="2"/>
      <c r="D4" s="11" t="s">
        <v>14</v>
      </c>
      <c r="E4" s="2"/>
      <c r="F4" s="2"/>
      <c r="G4" s="2"/>
      <c r="H4" s="2"/>
    </row>
    <row r="5" spans="1:9" x14ac:dyDescent="0.25">
      <c r="B5" s="1"/>
      <c r="C5" s="2"/>
      <c r="D5" s="11" t="s">
        <v>15</v>
      </c>
      <c r="E5" s="2"/>
      <c r="F5" s="2"/>
      <c r="G5" s="2"/>
      <c r="H5" s="2"/>
    </row>
    <row r="6" spans="1:9" x14ac:dyDescent="0.25">
      <c r="A6" s="11" t="s">
        <v>3</v>
      </c>
      <c r="B6" s="2"/>
      <c r="C6" s="2"/>
      <c r="D6" s="11" t="s">
        <v>16</v>
      </c>
      <c r="E6" s="2"/>
      <c r="F6" s="2"/>
      <c r="G6" s="2"/>
      <c r="H6" s="2"/>
    </row>
    <row r="7" spans="1:9" x14ac:dyDescent="0.25">
      <c r="A7" s="11" t="s">
        <v>4</v>
      </c>
      <c r="B7" s="2"/>
      <c r="C7" s="2"/>
      <c r="D7" s="11" t="s">
        <v>20</v>
      </c>
      <c r="E7" s="2"/>
      <c r="F7" s="2"/>
      <c r="G7" s="2"/>
      <c r="H7" s="2"/>
    </row>
    <row r="8" spans="1:9" x14ac:dyDescent="0.25">
      <c r="A8" s="11" t="s">
        <v>17</v>
      </c>
      <c r="B8" s="5"/>
      <c r="D8" s="11" t="s">
        <v>17</v>
      </c>
      <c r="E8" s="2"/>
      <c r="F8" s="2"/>
      <c r="G8" s="2"/>
      <c r="H8" s="2"/>
    </row>
    <row r="9" spans="1:9" x14ac:dyDescent="0.25">
      <c r="A9" s="11" t="s">
        <v>34</v>
      </c>
      <c r="B9" s="5"/>
      <c r="D9" s="11" t="s">
        <v>18</v>
      </c>
      <c r="E9" s="2"/>
      <c r="F9" s="2"/>
      <c r="G9" s="2"/>
      <c r="H9" s="2"/>
    </row>
    <row r="10" spans="1:9" x14ac:dyDescent="0.25">
      <c r="D10" s="11" t="s">
        <v>34</v>
      </c>
      <c r="E10" s="6"/>
      <c r="F10" s="6"/>
      <c r="G10" s="2"/>
      <c r="H10" s="2"/>
    </row>
    <row r="11" spans="1:9" x14ac:dyDescent="0.25">
      <c r="B11" s="14" t="s">
        <v>11</v>
      </c>
      <c r="C11" s="14" t="s">
        <v>10</v>
      </c>
      <c r="D11" s="11" t="s">
        <v>19</v>
      </c>
      <c r="E11" s="2"/>
      <c r="F11" s="2"/>
      <c r="G11" s="2"/>
      <c r="H11" s="2"/>
    </row>
    <row r="12" spans="1:9" x14ac:dyDescent="0.25">
      <c r="A12" s="11" t="s">
        <v>6</v>
      </c>
      <c r="B12" s="2"/>
      <c r="C12" s="2"/>
      <c r="D12" s="11" t="s">
        <v>23</v>
      </c>
      <c r="E12" s="3"/>
      <c r="F12" s="3"/>
      <c r="G12" s="3"/>
      <c r="H12" s="3"/>
    </row>
    <row r="13" spans="1:9" x14ac:dyDescent="0.25">
      <c r="A13" s="11" t="s">
        <v>5</v>
      </c>
      <c r="B13" s="2"/>
      <c r="C13" s="2"/>
      <c r="D13" s="11" t="s">
        <v>32</v>
      </c>
      <c r="E13" s="7" t="b">
        <v>0</v>
      </c>
      <c r="F13" s="7" t="b">
        <v>0</v>
      </c>
      <c r="G13" s="7" t="b">
        <v>0</v>
      </c>
      <c r="H13" s="7" t="b">
        <v>0</v>
      </c>
    </row>
    <row r="14" spans="1:9" x14ac:dyDescent="0.25">
      <c r="A14" s="11" t="s">
        <v>7</v>
      </c>
      <c r="B14" s="2"/>
      <c r="C14" s="2"/>
      <c r="D14" s="11" t="s">
        <v>22</v>
      </c>
      <c r="E14" s="2"/>
      <c r="F14" s="2"/>
      <c r="G14" s="2"/>
      <c r="H14" s="2"/>
    </row>
    <row r="16" spans="1:9" x14ac:dyDescent="0.25">
      <c r="B16" s="14" t="s">
        <v>12</v>
      </c>
      <c r="C16" s="14" t="s">
        <v>13</v>
      </c>
      <c r="E16" s="36" t="s">
        <v>22</v>
      </c>
      <c r="F16" s="36"/>
      <c r="G16" s="36"/>
      <c r="H16" s="36"/>
    </row>
    <row r="17" spans="1:8" x14ac:dyDescent="0.25">
      <c r="A17" s="11" t="s">
        <v>8</v>
      </c>
      <c r="B17" s="2"/>
      <c r="C17" s="2"/>
      <c r="E17" s="37"/>
      <c r="F17" s="38"/>
      <c r="G17" s="38"/>
      <c r="H17" s="39"/>
    </row>
    <row r="18" spans="1:8" x14ac:dyDescent="0.25">
      <c r="A18" s="11" t="s">
        <v>9</v>
      </c>
      <c r="B18" s="2"/>
      <c r="C18" s="2"/>
      <c r="E18" s="40"/>
      <c r="F18" s="41"/>
      <c r="G18" s="41"/>
      <c r="H18" s="42"/>
    </row>
    <row r="19" spans="1:8" ht="15" customHeight="1" x14ac:dyDescent="0.25">
      <c r="E19" s="40"/>
      <c r="F19" s="41"/>
      <c r="G19" s="41"/>
      <c r="H19" s="42"/>
    </row>
    <row r="20" spans="1:8" x14ac:dyDescent="0.25">
      <c r="B20" s="14" t="s">
        <v>31</v>
      </c>
      <c r="E20" s="40"/>
      <c r="F20" s="41"/>
      <c r="G20" s="41"/>
      <c r="H20" s="42"/>
    </row>
    <row r="21" spans="1:8" x14ac:dyDescent="0.25">
      <c r="A21" s="11" t="s">
        <v>67</v>
      </c>
      <c r="B21" s="4"/>
      <c r="E21" s="40"/>
      <c r="F21" s="41"/>
      <c r="G21" s="41"/>
      <c r="H21" s="42"/>
    </row>
    <row r="22" spans="1:8" x14ac:dyDescent="0.25">
      <c r="A22" s="11" t="s">
        <v>27</v>
      </c>
      <c r="B22" s="3"/>
      <c r="E22" s="40"/>
      <c r="F22" s="41"/>
      <c r="G22" s="41"/>
      <c r="H22" s="42"/>
    </row>
    <row r="23" spans="1:8" x14ac:dyDescent="0.25">
      <c r="A23" s="11" t="s">
        <v>30</v>
      </c>
      <c r="B23" s="3"/>
      <c r="E23" s="40"/>
      <c r="F23" s="41"/>
      <c r="G23" s="41"/>
      <c r="H23" s="42"/>
    </row>
    <row r="24" spans="1:8" x14ac:dyDescent="0.25">
      <c r="A24" s="11" t="s">
        <v>25</v>
      </c>
      <c r="B24" s="3"/>
      <c r="E24" s="40"/>
      <c r="F24" s="41"/>
      <c r="G24" s="41"/>
      <c r="H24" s="42"/>
    </row>
    <row r="25" spans="1:8" x14ac:dyDescent="0.25">
      <c r="A25" s="11" t="s">
        <v>24</v>
      </c>
      <c r="B25" s="4"/>
      <c r="E25" s="40"/>
      <c r="F25" s="41"/>
      <c r="G25" s="41"/>
      <c r="H25" s="42"/>
    </row>
    <row r="26" spans="1:8" x14ac:dyDescent="0.25">
      <c r="A26" s="11" t="s">
        <v>26</v>
      </c>
      <c r="B26" s="5"/>
      <c r="E26" s="40"/>
      <c r="F26" s="41"/>
      <c r="G26" s="41"/>
      <c r="H26" s="42"/>
    </row>
    <row r="27" spans="1:8" x14ac:dyDescent="0.25">
      <c r="A27" s="11" t="s">
        <v>28</v>
      </c>
      <c r="B27" s="5"/>
      <c r="E27" s="40"/>
      <c r="F27" s="41"/>
      <c r="G27" s="41"/>
      <c r="H27" s="42"/>
    </row>
    <row r="28" spans="1:8" x14ac:dyDescent="0.25">
      <c r="A28" s="11" t="s">
        <v>29</v>
      </c>
      <c r="B28" s="5"/>
      <c r="E28" s="43"/>
      <c r="F28" s="44"/>
      <c r="G28" s="44"/>
      <c r="H28" s="45"/>
    </row>
  </sheetData>
  <mergeCells count="2">
    <mergeCell ref="E16:H16"/>
    <mergeCell ref="E17:H28"/>
  </mergeCells>
  <conditionalFormatting sqref="E4:H10">
    <cfRule type="expression" dxfId="1" priority="1">
      <formula>E$13</formula>
    </cfRule>
  </conditionalFormatting>
  <dataValidations count="2">
    <dataValidation type="list" allowBlank="1" showInputMessage="1" showErrorMessage="1" sqref="E4:H4" xr:uid="{0939F4B5-DDE0-4F18-B7B1-8B606A3DEA80}">
      <formula1>"Herr,Frau,Abteilung"</formula1>
    </dataValidation>
    <dataValidation type="list" allowBlank="1" showInputMessage="1" showErrorMessage="1" sqref="B28" xr:uid="{AA778305-B90C-46DB-9AB8-F7751C62C651}">
      <formula1>"Überweisung,Lastschrift"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4F499-E92A-4FC0-9E69-CBFACAB1FF2C}">
  <sheetPr codeName="Tabelle2"/>
  <dimension ref="A1:AB4"/>
  <sheetViews>
    <sheetView showGridLines="0" tabSelected="1" workbookViewId="0">
      <selection activeCell="B5" sqref="B5"/>
    </sheetView>
  </sheetViews>
  <sheetFormatPr baseColWidth="10" defaultRowHeight="13.5" x14ac:dyDescent="0.25"/>
  <cols>
    <col min="1" max="1" width="5.5" style="15" customWidth="1"/>
    <col min="2" max="2" width="12.625" style="15" customWidth="1"/>
    <col min="3" max="3" width="16" style="15" customWidth="1"/>
    <col min="4" max="4" width="11.25" style="15" customWidth="1"/>
    <col min="5" max="5" width="9" style="15" customWidth="1"/>
    <col min="6" max="6" width="6.375" style="15" customWidth="1"/>
    <col min="7" max="7" width="6.875" style="15" bestFit="1" customWidth="1"/>
    <col min="8" max="8" width="6.375" style="15" bestFit="1" customWidth="1"/>
    <col min="9" max="9" width="11.25" style="15" customWidth="1"/>
    <col min="10" max="11" width="6.875" style="15" bestFit="1" customWidth="1"/>
    <col min="12" max="12" width="10.125" style="15" customWidth="1"/>
    <col min="13" max="14" width="11" style="15"/>
    <col min="15" max="15" width="8.75" style="15" bestFit="1" customWidth="1"/>
    <col min="16" max="16" width="8.125" style="15" customWidth="1"/>
    <col min="17" max="17" width="9.625" style="15" customWidth="1"/>
    <col min="18" max="18" width="9.75" style="15" customWidth="1"/>
    <col min="19" max="19" width="9.625" style="15" customWidth="1"/>
    <col min="20" max="20" width="9.125" style="15" customWidth="1"/>
    <col min="21" max="21" width="7.875" style="15" customWidth="1"/>
    <col min="22" max="22" width="25.375" style="15" customWidth="1"/>
    <col min="23" max="23" width="9.125" style="15" customWidth="1"/>
    <col min="24" max="24" width="11.75" style="15" bestFit="1" customWidth="1"/>
    <col min="25" max="25" width="11" style="15"/>
    <col min="26" max="26" width="6.25" style="15" customWidth="1"/>
    <col min="27" max="27" width="8.875" style="15" bestFit="1" customWidth="1"/>
    <col min="28" max="28" width="8.625" style="15" bestFit="1" customWidth="1"/>
    <col min="29" max="16384" width="11" style="15"/>
  </cols>
  <sheetData>
    <row r="1" spans="1:28" s="30" customFormat="1" ht="26.25" customHeight="1" x14ac:dyDescent="0.25">
      <c r="A1" s="28" t="s">
        <v>63</v>
      </c>
      <c r="B1" s="29"/>
      <c r="C1" s="29" t="str" cm="1">
        <f t="array" ref="C1">Fullname(Kunde!$B$4,Kunde!$B$5) &amp; ", " &amp; Kunde!$B$7</f>
        <v xml:space="preserve">, 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</row>
    <row r="2" spans="1:28" s="24" customFormat="1" ht="15" x14ac:dyDescent="0.25">
      <c r="A2" s="23" t="s">
        <v>60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5" t="s">
        <v>61</v>
      </c>
      <c r="P2" s="23"/>
      <c r="Q2" s="23"/>
      <c r="R2" s="23"/>
      <c r="S2" s="27"/>
      <c r="T2" s="23" t="s">
        <v>62</v>
      </c>
      <c r="U2" s="27"/>
      <c r="V2" s="26"/>
      <c r="W2" s="23"/>
      <c r="X2" s="23"/>
      <c r="Y2" s="23"/>
      <c r="Z2" s="23"/>
      <c r="AA2" s="23"/>
      <c r="AB2" s="27"/>
    </row>
    <row r="3" spans="1:28" s="17" customFormat="1" ht="36" customHeight="1" x14ac:dyDescent="0.25">
      <c r="A3" s="17" t="s">
        <v>35</v>
      </c>
      <c r="B3" s="17" t="s">
        <v>36</v>
      </c>
      <c r="C3" s="17" t="s">
        <v>42</v>
      </c>
      <c r="D3" s="17" t="s">
        <v>43</v>
      </c>
      <c r="E3" s="17" t="s">
        <v>44</v>
      </c>
      <c r="F3" s="17" t="s">
        <v>45</v>
      </c>
      <c r="G3" s="17" t="s">
        <v>46</v>
      </c>
      <c r="H3" s="17" t="s">
        <v>37</v>
      </c>
      <c r="I3" s="17" t="s">
        <v>47</v>
      </c>
      <c r="J3" s="17" t="s">
        <v>65</v>
      </c>
      <c r="K3" s="17" t="s">
        <v>66</v>
      </c>
      <c r="L3" s="17" t="s">
        <v>50</v>
      </c>
      <c r="M3" s="17" t="s">
        <v>51</v>
      </c>
      <c r="N3" s="17" t="s">
        <v>52</v>
      </c>
      <c r="O3" s="17" t="s">
        <v>38</v>
      </c>
      <c r="P3" s="17" t="s">
        <v>54</v>
      </c>
      <c r="Q3" s="17" t="s">
        <v>39</v>
      </c>
      <c r="R3" s="17" t="s">
        <v>40</v>
      </c>
      <c r="S3" s="17" t="s">
        <v>41</v>
      </c>
      <c r="T3" s="17" t="s">
        <v>53</v>
      </c>
      <c r="U3" s="17" t="s">
        <v>55</v>
      </c>
      <c r="V3" s="17" t="s">
        <v>56</v>
      </c>
      <c r="W3" s="17" t="s">
        <v>57</v>
      </c>
      <c r="X3" s="17" t="s">
        <v>58</v>
      </c>
      <c r="Y3" s="17" t="s">
        <v>59</v>
      </c>
      <c r="Z3" s="17" t="s">
        <v>64</v>
      </c>
      <c r="AA3" s="17" t="s">
        <v>48</v>
      </c>
      <c r="AB3" s="17" t="s">
        <v>49</v>
      </c>
    </row>
    <row r="4" spans="1:28" x14ac:dyDescent="0.25">
      <c r="A4" s="33">
        <f t="shared" ref="A4" si="0">ROW()-3</f>
        <v>1</v>
      </c>
      <c r="B4" s="16"/>
      <c r="C4" s="16"/>
      <c r="D4" s="16"/>
      <c r="E4" s="16"/>
      <c r="F4" s="16"/>
      <c r="G4" s="18"/>
      <c r="H4" s="18"/>
      <c r="I4" s="31"/>
      <c r="J4" s="31"/>
      <c r="K4" s="31"/>
      <c r="L4" s="16"/>
      <c r="M4" s="16"/>
      <c r="N4" s="18"/>
      <c r="O4" s="22"/>
      <c r="P4" s="22"/>
      <c r="Q4" s="22"/>
      <c r="R4" s="22"/>
      <c r="S4" s="22"/>
      <c r="T4" s="32"/>
      <c r="U4" s="19"/>
      <c r="V4" s="19"/>
      <c r="W4" s="20"/>
      <c r="X4" s="19"/>
      <c r="Y4" s="21"/>
      <c r="Z4" s="34" cm="1">
        <f t="array" ref="Z4">Vorlauf(Tabelle1[[#This Row],[Anbieter]])</f>
        <v>1</v>
      </c>
      <c r="AA4" s="35" t="str">
        <f>IFERROR(EDATE(Tabelle1[[#This Row],[Vertragsende]], -Tabelle1[[#This Row],[Vorlauf]]) + 1, "")</f>
        <v/>
      </c>
      <c r="AB4" s="35" t="str">
        <f>IFERROR(EDATE(Tabelle1[[#This Row],[Vertragsende]], -Tabelle1[[#This Row],[Vorlauf]] - 1) + 1, "")</f>
        <v/>
      </c>
    </row>
  </sheetData>
  <conditionalFormatting sqref="A4:AB4">
    <cfRule type="expression" dxfId="0" priority="2">
      <formula>AND($G4 = "X", $J4 = "", $K4 = "")</formula>
    </cfRule>
  </conditionalFormatting>
  <dataValidations disablePrompts="1" count="2">
    <dataValidation type="list" allowBlank="1" showInputMessage="1" showErrorMessage="1" sqref="N4" xr:uid="{57C12F78-B250-4316-9450-98B1F7C2E325}">
      <formula1>"O,P"</formula1>
    </dataValidation>
    <dataValidation type="list" allowBlank="1" showInputMessage="1" showErrorMessage="1" sqref="G4:H4" xr:uid="{F90A6400-674C-4C5E-9B2A-99604320E4DD}">
      <formula1>"X"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</AFEJSONBlob>
</file>

<file path=customXml/itemProps1.xml><?xml version="1.0" encoding="utf-8"?>
<ds:datastoreItem xmlns:ds="http://schemas.openxmlformats.org/officeDocument/2006/customXml" ds:itemID="{81E1DB8B-6001-4178-905C-44DD32C6C998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Kunde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2026-04-21T17:49:57Z</dcterms:created>
  <dcterms:modified xsi:type="dcterms:W3CDTF">2026-04-22T16:59:45Z</dcterms:modified>
</cp:coreProperties>
</file>