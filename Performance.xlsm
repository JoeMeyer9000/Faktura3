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X:\Faktura3\"/>
    </mc:Choice>
  </mc:AlternateContent>
  <xr:revisionPtr revIDLastSave="0" documentId="13_ncr:1_{5990AA7A-F9EC-424C-A798-ECBB6B14F1FD}" xr6:coauthVersionLast="47" xr6:coauthVersionMax="47" xr10:uidLastSave="{00000000-0000-0000-0000-000000000000}"/>
  <bookViews>
    <workbookView xWindow="-120" yWindow="-120" windowWidth="38640" windowHeight="21120" activeTab="1" xr2:uid="{E86F0C4E-4C2D-4004-AEF0-4ACCB735D057}"/>
  </bookViews>
  <sheets>
    <sheet name="Übersicht" sheetId="10" r:id="rId1"/>
    <sheet name="Termine" sheetId="8" r:id="rId2"/>
    <sheet name="Angebote" sheetId="12" r:id="rId3"/>
    <sheet name="Einstellungen" sheetId="4" r:id="rId4"/>
    <sheet name="Developer" sheetId="11" state="veryHidden" r:id="rId5"/>
  </sheets>
  <functionGroups builtInGroupCount="19"/>
  <definedNames>
    <definedName name="_xleta.CHAR" hidden="1" xlm="1">#NAME?</definedName>
    <definedName name="_xleta.COUNTIF" hidden="1" xlm="1">#NAME?</definedName>
    <definedName name="_xleta.DATE" hidden="1" xlm="1">#NAME?</definedName>
    <definedName name="_xleta.T" hidden="1" xlm="1">#NAME?</definedName>
    <definedName name="_xleta.TEXT" hidden="1" xlm="1">#NAME?</definedName>
    <definedName name="_xleta.VALUE" hidden="1" xlm="1">#NAME?</definedName>
    <definedName name="_xlpm.accum" hidden="1" xlm="1">#NAME?</definedName>
    <definedName name="_xlpm.Agent" hidden="1" xlm="1">#NAME?</definedName>
    <definedName name="_xlpm.d" hidden="1" xlm="1">#NAME?</definedName>
    <definedName name="_xlpm.da" hidden="1" xlm="1">#NAME?</definedName>
    <definedName name="_xlpm.dat" hidden="1" xlm="1">#NAME?</definedName>
    <definedName name="_xlpm.datu" hidden="1" xlm="1">#NAME?</definedName>
    <definedName name="_xlpm.Datum" hidden="1" xlm="1">#NAME?</definedName>
    <definedName name="_xlpm.id" hidden="1" xlm="1">#NAME?</definedName>
    <definedName name="_xlpm.Jahr" hidden="1" xlm="1">#NAME?</definedName>
    <definedName name="_xlpm.KW" hidden="1" xlm="1">#NAME?</definedName>
    <definedName name="_xlpm.KWJahr" hidden="1" xlm="1">#NAME?</definedName>
    <definedName name="_xlpm.Mitarbeiter" hidden="1" xlm="1">#NAME?</definedName>
    <definedName name="_xlpm.Name" hidden="1" xlm="1">#NAME?</definedName>
    <definedName name="_xlpm.new" hidden="1" xlm="1">#NAME?</definedName>
    <definedName name="_xlpm.row" hidden="1" xlm="1">#NAME?</definedName>
    <definedName name="_xlpm.summe" hidden="1" xlm="1">#NAME?</definedName>
    <definedName name="_xlpm.TerminArt" hidden="1" xlm="1">#NAME?</definedName>
    <definedName name="_xlpm.vals" hidden="1" xlm="1">#NAME?</definedName>
    <definedName name="_xlpm.wert" hidden="1" xlm="1">#NAME?</definedName>
    <definedName name="_xlpm.x" hidden="1" xlm="1">#NAME?</definedName>
    <definedName name="_xlpm.y" hidden="1" xlm="1">#NAME?</definedName>
    <definedName name="AngebotArt">tblAngebotArt[Angebotarten]</definedName>
    <definedName name="BundesLandKurz">tblBundesländer[Kurz]</definedName>
    <definedName name="Datenschnitt_Jahr">#N/A</definedName>
    <definedName name="Datenschnitt_Mitarbeiter">#N/A</definedName>
    <definedName name="Datenschnitt_Terminart">#N/A</definedName>
    <definedName name="DevEnumPrefix">Developer!$B$3</definedName>
    <definedName name="DevVarPrefix">Developer!$B$4</definedName>
    <definedName name="_xlnm.Print_Area" localSheetId="0">Übersicht!$C$1:$P$31</definedName>
    <definedName name="Jahr" localSheetId="3">Einstellungen!$V$1</definedName>
    <definedName name="KWAktuell">_xlfn.LAMBDA(_xlpm.KW,WEEKNUM(TODAY(), 2) = WEEKNUM(_xlpm.KW, 2))</definedName>
    <definedName name="KWStart">_xlfn.LAMBDA(_xlpm.KWJahr,_xlpm.KW,DATE(_xlpm.KWJahr, 1, 1) + (_xlpm.KW - 1) * 7 - WEEKDAY(DATE(_xlpm.KWJahr, 1, 1), 2) + 1)</definedName>
    <definedName name="MakeSearchTerm">_xlfn.LAMBDA(_xlpm.Name,_xlpm.Datum,_xlpm.Name &amp; " - " &amp; TEXT(_xlpm.Datum, "JJ-MM-TT"))</definedName>
    <definedName name="Ostersonntag">_xlfn.LAMBDA(_xlpm.Jahr,DATE(_xlpm.Jahr, 3, 28) + MOD(24 - MOD(_xlpm.Jahr, 19) * 10.63, 29) - MOD(TRUNC(_xlpm.Jahr * 5 / 4) + MOD(24 - MOD(_xlpm.Jahr, 19) * 10.63, 29) + 1, 7))</definedName>
    <definedName name="SelectedMitarbeiter">Übersicht!$C$5</definedName>
    <definedName name="TerminAnTag">_xlfn.LAMBDA(_xlpm.Mitarbeiter,_xlpm.Datum,_xlfn._xlws.FILTER(tblTermine[Display], tblTermine[SearchTerm] = MakeSearchTerm(_xlpm.Mitarbeiter, _xlpm.Datum), ""))</definedName>
    <definedName name="TerminArtDisplay">_xlfn.LAMBDA(_xlpm.TerminArt,_xlpm.Agent,_xlfn.LET(_xlpm.id, TerminArtId(_xlpm.TerminArt, _xlpm.Agent), _xlfn.IFS(_xlpm.id = 11, "Eigentermin", _xlpm.id = 12, "Bestand", _xlpm.id = 13, "Alt-KB", _xlpm.id = 21, "Neu (" &amp; _xlpm.Agent &amp; ")", _xlpm.id = 22, "Bestand (" &amp; _xlpm.Agent &amp; ")", _xlpm.id = 23, "Alt-KB (" &amp; _xlpm.Agent &amp; ")", _xlpm.id = 31, "Urlaub", _xlpm.id = 32, "Feiertag", TRUE(), "FEHLER")))</definedName>
    <definedName name="TerminArten">tblTerminArten[Terminarten]</definedName>
    <definedName name="TerminArtId">_xlfn.LAMBDA(_xlpm.TerminArt,_xlpm.Agent,_xlfn.LET(_xlpm.id, _xlfn.IFS(_xlpm.TerminArt = "Neu", 11, _xlpm.TerminArt = "Bestand", 12, _xlpm.TerminArt = "Alt-KB", 13, _xlpm.TerminArt = "Urlaub", 31, _xlpm.TerminArt = "Feiertag", 32, TRUE(), 0), IF(_xlpm.Agent = "", _xlpm.id, _xlpm.id + 10)))</definedName>
    <definedName name="TerminMitarbeiter">Übersicht!$L$3</definedName>
    <definedName name="TerminStichtag">Übersicht!$D$1</definedName>
    <definedName name="VBNames">_xlfn.ANCHORARRAY(Einstellungen!$O$22)</definedName>
  </definedNames>
  <calcPr calcId="191029"/>
  <pivotCaches>
    <pivotCache cacheId="0"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34" i="8" l="1" a="1"/>
  <c r="F334" i="8" s="1"/>
  <c r="G334" i="8" a="1"/>
  <c r="G334" i="8" s="1"/>
  <c r="H334" i="8" a="1"/>
  <c r="H334" i="8" s="1"/>
  <c r="I334" i="8"/>
  <c r="F333" i="8" a="1"/>
  <c r="F333" i="8" s="1"/>
  <c r="G333" i="8" a="1"/>
  <c r="G333" i="8" s="1"/>
  <c r="H333" i="8" a="1"/>
  <c r="H333" i="8" s="1"/>
  <c r="I333" i="8"/>
  <c r="F332" i="8" a="1"/>
  <c r="F332" i="8" s="1"/>
  <c r="G332" i="8" a="1"/>
  <c r="G332" i="8" s="1"/>
  <c r="H332" i="8" a="1"/>
  <c r="H332" i="8" s="1"/>
  <c r="I332" i="8"/>
  <c r="F331" i="8" a="1"/>
  <c r="F331" i="8" s="1"/>
  <c r="G331" i="8" a="1"/>
  <c r="G331" i="8" s="1"/>
  <c r="H331" i="8" a="1"/>
  <c r="H331" i="8" s="1"/>
  <c r="I331" i="8"/>
  <c r="F330" i="8" a="1"/>
  <c r="F330" i="8" s="1"/>
  <c r="G330" i="8" a="1"/>
  <c r="G330" i="8" s="1"/>
  <c r="H330" i="8" a="1"/>
  <c r="H330" i="8" s="1"/>
  <c r="I330" i="8"/>
  <c r="F329" i="8" a="1"/>
  <c r="F329" i="8" s="1"/>
  <c r="G329" i="8" a="1"/>
  <c r="G329" i="8" s="1"/>
  <c r="H329" i="8" a="1"/>
  <c r="H329" i="8" s="1"/>
  <c r="I329" i="8"/>
  <c r="F328" i="8" a="1"/>
  <c r="F328" i="8" s="1"/>
  <c r="G328" i="8" a="1"/>
  <c r="G328" i="8" s="1"/>
  <c r="H328" i="8" a="1"/>
  <c r="H328" i="8" s="1"/>
  <c r="I328" i="8"/>
  <c r="F327" i="8" a="1"/>
  <c r="F327" i="8" s="1"/>
  <c r="G327" i="8" a="1"/>
  <c r="G327" i="8" s="1"/>
  <c r="H327" i="8" a="1"/>
  <c r="H327" i="8" s="1"/>
  <c r="I327" i="8"/>
  <c r="F326" i="8" a="1"/>
  <c r="F326" i="8" s="1"/>
  <c r="G326" i="8" a="1"/>
  <c r="G326" i="8" s="1"/>
  <c r="H326" i="8" a="1"/>
  <c r="H326" i="8" s="1"/>
  <c r="I326" i="8"/>
  <c r="F325" i="8" a="1"/>
  <c r="F325" i="8" s="1"/>
  <c r="G325" i="8" a="1"/>
  <c r="G325" i="8" s="1"/>
  <c r="H325" i="8" a="1"/>
  <c r="H325" i="8" s="1"/>
  <c r="I325" i="8"/>
  <c r="F324" i="8" a="1"/>
  <c r="F324" i="8" s="1"/>
  <c r="G324" i="8" a="1"/>
  <c r="G324" i="8" s="1"/>
  <c r="H324" i="8" a="1"/>
  <c r="H324" i="8" s="1"/>
  <c r="I324" i="8"/>
  <c r="F323" i="8" a="1"/>
  <c r="F323" i="8" s="1"/>
  <c r="G323" i="8" a="1"/>
  <c r="G323" i="8" s="1"/>
  <c r="H323" i="8" a="1"/>
  <c r="H323" i="8" s="1"/>
  <c r="I323" i="8"/>
  <c r="F322" i="8" a="1"/>
  <c r="F322" i="8" s="1"/>
  <c r="G322" i="8" a="1"/>
  <c r="G322" i="8" s="1"/>
  <c r="H322" i="8" a="1"/>
  <c r="H322" i="8" s="1"/>
  <c r="I322" i="8"/>
  <c r="F321" i="8" a="1"/>
  <c r="F321" i="8" s="1"/>
  <c r="G321" i="8" a="1"/>
  <c r="G321" i="8" s="1"/>
  <c r="H321" i="8" a="1"/>
  <c r="H321" i="8" s="1"/>
  <c r="I321" i="8"/>
  <c r="F320" i="8" a="1"/>
  <c r="F320" i="8" s="1"/>
  <c r="G320" i="8" a="1"/>
  <c r="G320" i="8" s="1"/>
  <c r="H320" i="8" a="1"/>
  <c r="H320" i="8" s="1"/>
  <c r="I320" i="8"/>
  <c r="F319" i="8" a="1"/>
  <c r="F319" i="8" s="1"/>
  <c r="G319" i="8" a="1"/>
  <c r="G319" i="8" s="1"/>
  <c r="H319" i="8" a="1"/>
  <c r="H319" i="8" s="1"/>
  <c r="I319" i="8"/>
  <c r="F318" i="8" a="1"/>
  <c r="F318" i="8" s="1"/>
  <c r="G318" i="8" a="1"/>
  <c r="G318" i="8" s="1"/>
  <c r="H318" i="8" a="1"/>
  <c r="H318" i="8" s="1"/>
  <c r="I318" i="8"/>
  <c r="F317" i="8" a="1"/>
  <c r="F317" i="8" s="1"/>
  <c r="G317" i="8" a="1"/>
  <c r="G317" i="8" s="1"/>
  <c r="H317" i="8" a="1"/>
  <c r="H317" i="8" s="1"/>
  <c r="I317" i="8"/>
  <c r="F316" i="8" a="1"/>
  <c r="F316" i="8" s="1"/>
  <c r="G316" i="8" a="1"/>
  <c r="G316" i="8" s="1"/>
  <c r="H316" i="8" a="1"/>
  <c r="H316" i="8" s="1"/>
  <c r="I316" i="8"/>
  <c r="F315" i="8" a="1"/>
  <c r="F315" i="8" s="1"/>
  <c r="G315" i="8" a="1"/>
  <c r="G315" i="8" s="1"/>
  <c r="H315" i="8" a="1"/>
  <c r="H315" i="8" s="1"/>
  <c r="I315" i="8"/>
  <c r="F314" i="8" a="1"/>
  <c r="F314" i="8" s="1"/>
  <c r="G314" i="8" a="1"/>
  <c r="G314" i="8" s="1"/>
  <c r="H314" i="8" a="1"/>
  <c r="H314" i="8" s="1"/>
  <c r="I314" i="8"/>
  <c r="F313" i="8" a="1"/>
  <c r="F313" i="8" s="1"/>
  <c r="G313" i="8" a="1"/>
  <c r="G313" i="8" s="1"/>
  <c r="H313" i="8" a="1"/>
  <c r="H313" i="8" s="1"/>
  <c r="I313" i="8"/>
  <c r="F312" i="8" a="1"/>
  <c r="F312" i="8" s="1"/>
  <c r="G312" i="8" a="1"/>
  <c r="G312" i="8" s="1"/>
  <c r="H312" i="8" a="1"/>
  <c r="H312" i="8" s="1"/>
  <c r="I312" i="8"/>
  <c r="F311" i="8" a="1"/>
  <c r="F311" i="8" s="1"/>
  <c r="G311" i="8" a="1"/>
  <c r="G311" i="8" s="1"/>
  <c r="H311" i="8" a="1"/>
  <c r="H311" i="8" s="1"/>
  <c r="I311" i="8"/>
  <c r="F310" i="8" a="1"/>
  <c r="F310" i="8" s="1"/>
  <c r="G310" i="8" a="1"/>
  <c r="G310" i="8" s="1"/>
  <c r="H310" i="8" a="1"/>
  <c r="H310" i="8" s="1"/>
  <c r="I310" i="8"/>
  <c r="F309" i="8" a="1"/>
  <c r="F309" i="8" s="1"/>
  <c r="G309" i="8" a="1"/>
  <c r="G309" i="8" s="1"/>
  <c r="H309" i="8" a="1"/>
  <c r="H309" i="8" s="1"/>
  <c r="I309" i="8"/>
  <c r="F308" i="8" a="1"/>
  <c r="F308" i="8" s="1"/>
  <c r="G308" i="8" a="1"/>
  <c r="G308" i="8" s="1"/>
  <c r="H308" i="8" a="1"/>
  <c r="H308" i="8" s="1"/>
  <c r="I308" i="8"/>
  <c r="F307" i="8" a="1"/>
  <c r="F307" i="8" s="1"/>
  <c r="G307" i="8" a="1"/>
  <c r="G307" i="8" s="1"/>
  <c r="H307" i="8" a="1"/>
  <c r="H307" i="8" s="1"/>
  <c r="I307" i="8"/>
  <c r="F306" i="8" a="1"/>
  <c r="F306" i="8" s="1"/>
  <c r="G306" i="8" a="1"/>
  <c r="G306" i="8" s="1"/>
  <c r="H306" i="8" a="1"/>
  <c r="H306" i="8" s="1"/>
  <c r="I306" i="8"/>
  <c r="F305" i="8" a="1"/>
  <c r="F305" i="8" s="1"/>
  <c r="G305" i="8" a="1"/>
  <c r="G305" i="8" s="1"/>
  <c r="H305" i="8" a="1"/>
  <c r="H305" i="8" s="1"/>
  <c r="I305" i="8"/>
  <c r="F304" i="8" a="1"/>
  <c r="F304" i="8" s="1"/>
  <c r="G304" i="8" a="1"/>
  <c r="G304" i="8" s="1"/>
  <c r="H304" i="8" a="1"/>
  <c r="H304" i="8" s="1"/>
  <c r="I304" i="8"/>
  <c r="F303" i="8" a="1"/>
  <c r="F303" i="8" s="1"/>
  <c r="G303" i="8" a="1"/>
  <c r="G303" i="8" s="1"/>
  <c r="H303" i="8" a="1"/>
  <c r="H303" i="8" s="1"/>
  <c r="I303" i="8"/>
  <c r="F302" i="8" a="1"/>
  <c r="F302" i="8" s="1"/>
  <c r="G302" i="8" a="1"/>
  <c r="G302" i="8" s="1"/>
  <c r="H302" i="8" a="1"/>
  <c r="H302" i="8" s="1"/>
  <c r="I302" i="8"/>
  <c r="F301" i="8" a="1"/>
  <c r="F301" i="8" s="1"/>
  <c r="G301" i="8" a="1"/>
  <c r="G301" i="8" s="1"/>
  <c r="H301" i="8" a="1"/>
  <c r="H301" i="8" s="1"/>
  <c r="I301" i="8"/>
  <c r="F300" i="8" a="1"/>
  <c r="F300" i="8" s="1"/>
  <c r="G300" i="8" a="1"/>
  <c r="G300" i="8" s="1"/>
  <c r="H300" i="8" a="1"/>
  <c r="H300" i="8" s="1"/>
  <c r="I300" i="8"/>
  <c r="F299" i="8" a="1"/>
  <c r="F299" i="8" s="1"/>
  <c r="G299" i="8" a="1"/>
  <c r="G299" i="8" s="1"/>
  <c r="H299" i="8" a="1"/>
  <c r="H299" i="8" s="1"/>
  <c r="I299" i="8"/>
  <c r="F298" i="8" a="1"/>
  <c r="F298" i="8" s="1"/>
  <c r="G298" i="8" a="1"/>
  <c r="G298" i="8" s="1"/>
  <c r="H298" i="8" a="1"/>
  <c r="H298" i="8" s="1"/>
  <c r="I298" i="8"/>
  <c r="F297" i="8" a="1"/>
  <c r="F297" i="8" s="1"/>
  <c r="G297" i="8" a="1"/>
  <c r="G297" i="8" s="1"/>
  <c r="H297" i="8" a="1"/>
  <c r="H297" i="8" s="1"/>
  <c r="I297" i="8"/>
  <c r="F296" i="8" a="1"/>
  <c r="F296" i="8" s="1"/>
  <c r="G296" i="8" a="1"/>
  <c r="G296" i="8" s="1"/>
  <c r="H296" i="8" a="1"/>
  <c r="H296" i="8" s="1"/>
  <c r="I296" i="8"/>
  <c r="F295" i="8" a="1"/>
  <c r="F295" i="8" s="1"/>
  <c r="G295" i="8" a="1"/>
  <c r="G295" i="8" s="1"/>
  <c r="H295" i="8" a="1"/>
  <c r="H295" i="8" s="1"/>
  <c r="I295" i="8"/>
  <c r="F294" i="8" a="1"/>
  <c r="F294" i="8" s="1"/>
  <c r="G294" i="8" a="1"/>
  <c r="G294" i="8" s="1"/>
  <c r="H294" i="8" a="1"/>
  <c r="H294" i="8" s="1"/>
  <c r="I294" i="8"/>
  <c r="F293" i="8" a="1"/>
  <c r="F293" i="8" s="1"/>
  <c r="G293" i="8" a="1"/>
  <c r="G293" i="8" s="1"/>
  <c r="H293" i="8" a="1"/>
  <c r="H293" i="8" s="1"/>
  <c r="I293" i="8"/>
  <c r="F292" i="8" a="1"/>
  <c r="F292" i="8" s="1"/>
  <c r="G292" i="8" a="1"/>
  <c r="G292" i="8" s="1"/>
  <c r="H292" i="8" a="1"/>
  <c r="H292" i="8" s="1"/>
  <c r="I292" i="8"/>
  <c r="F291" i="8" a="1"/>
  <c r="F291" i="8" s="1"/>
  <c r="G291" i="8" a="1"/>
  <c r="G291" i="8" s="1"/>
  <c r="H291" i="8" a="1"/>
  <c r="H291" i="8" s="1"/>
  <c r="I291" i="8"/>
  <c r="F290" i="8" a="1"/>
  <c r="F290" i="8" s="1"/>
  <c r="G290" i="8" a="1"/>
  <c r="G290" i="8" s="1"/>
  <c r="H290" i="8" a="1"/>
  <c r="H290" i="8" s="1"/>
  <c r="I290" i="8"/>
  <c r="F289" i="8" a="1"/>
  <c r="F289" i="8" s="1"/>
  <c r="G289" i="8" a="1"/>
  <c r="G289" i="8" s="1"/>
  <c r="H289" i="8" a="1"/>
  <c r="H289" i="8" s="1"/>
  <c r="I289" i="8"/>
  <c r="F288" i="8" a="1"/>
  <c r="F288" i="8" s="1"/>
  <c r="G288" i="8" a="1"/>
  <c r="G288" i="8" s="1"/>
  <c r="H288" i="8" a="1"/>
  <c r="H288" i="8" s="1"/>
  <c r="I288" i="8"/>
  <c r="F287" i="8" a="1"/>
  <c r="F287" i="8" s="1"/>
  <c r="G287" i="8" a="1"/>
  <c r="G287" i="8" s="1"/>
  <c r="H287" i="8" a="1"/>
  <c r="H287" i="8" s="1"/>
  <c r="I287" i="8"/>
  <c r="F286" i="8" a="1"/>
  <c r="F286" i="8" s="1"/>
  <c r="G286" i="8" a="1"/>
  <c r="G286" i="8" s="1"/>
  <c r="H286" i="8" a="1"/>
  <c r="H286" i="8" s="1"/>
  <c r="I286" i="8"/>
  <c r="F285" i="8" a="1"/>
  <c r="F285" i="8" s="1"/>
  <c r="G285" i="8" a="1"/>
  <c r="G285" i="8" s="1"/>
  <c r="H285" i="8" a="1"/>
  <c r="H285" i="8" s="1"/>
  <c r="I285" i="8"/>
  <c r="F284" i="8" a="1"/>
  <c r="F284" i="8" s="1"/>
  <c r="G284" i="8" a="1"/>
  <c r="G284" i="8" s="1"/>
  <c r="H284" i="8" a="1"/>
  <c r="H284" i="8" s="1"/>
  <c r="I284" i="8"/>
  <c r="F283" i="8" a="1"/>
  <c r="F283" i="8" s="1"/>
  <c r="G283" i="8" a="1"/>
  <c r="G283" i="8" s="1"/>
  <c r="H283" i="8" a="1"/>
  <c r="H283" i="8" s="1"/>
  <c r="I283" i="8"/>
  <c r="F282" i="8" a="1"/>
  <c r="F282" i="8" s="1"/>
  <c r="G282" i="8" a="1"/>
  <c r="G282" i="8" s="1"/>
  <c r="H282" i="8" a="1"/>
  <c r="H282" i="8" s="1"/>
  <c r="I282" i="8"/>
  <c r="F281" i="8" a="1"/>
  <c r="F281" i="8" s="1"/>
  <c r="G281" i="8" a="1"/>
  <c r="G281" i="8" s="1"/>
  <c r="H281" i="8" a="1"/>
  <c r="H281" i="8" s="1"/>
  <c r="I281" i="8"/>
  <c r="F280" i="8" a="1"/>
  <c r="F280" i="8" s="1"/>
  <c r="G280" i="8" a="1"/>
  <c r="G280" i="8" s="1"/>
  <c r="H280" i="8" a="1"/>
  <c r="H280" i="8" s="1"/>
  <c r="I280" i="8"/>
  <c r="F279" i="8" a="1"/>
  <c r="F279" i="8" s="1"/>
  <c r="G279" i="8" a="1"/>
  <c r="G279" i="8" s="1"/>
  <c r="H279" i="8" a="1"/>
  <c r="H279" i="8" s="1"/>
  <c r="I279" i="8"/>
  <c r="F278" i="8" a="1"/>
  <c r="F278" i="8" s="1"/>
  <c r="G278" i="8" a="1"/>
  <c r="G278" i="8" s="1"/>
  <c r="H278" i="8" a="1"/>
  <c r="H278" i="8" s="1"/>
  <c r="I278" i="8"/>
  <c r="F277" i="8" a="1"/>
  <c r="F277" i="8" s="1"/>
  <c r="G277" i="8" a="1"/>
  <c r="G277" i="8" s="1"/>
  <c r="H277" i="8" a="1"/>
  <c r="H277" i="8" s="1"/>
  <c r="I277" i="8"/>
  <c r="F276" i="8" a="1"/>
  <c r="F276" i="8" s="1"/>
  <c r="G276" i="8" a="1"/>
  <c r="G276" i="8" s="1"/>
  <c r="H276" i="8" a="1"/>
  <c r="H276" i="8" s="1"/>
  <c r="I276" i="8"/>
  <c r="F275" i="8" a="1"/>
  <c r="F275" i="8" s="1"/>
  <c r="G275" i="8" a="1"/>
  <c r="G275" i="8" s="1"/>
  <c r="H275" i="8" a="1"/>
  <c r="H275" i="8" s="1"/>
  <c r="I275" i="8"/>
  <c r="F274" i="8" a="1"/>
  <c r="F274" i="8" s="1"/>
  <c r="G274" i="8" a="1"/>
  <c r="G274" i="8" s="1"/>
  <c r="H274" i="8" a="1"/>
  <c r="H274" i="8" s="1"/>
  <c r="I274" i="8"/>
  <c r="F273" i="8" a="1"/>
  <c r="F273" i="8" s="1"/>
  <c r="G273" i="8" a="1"/>
  <c r="G273" i="8" s="1"/>
  <c r="H273" i="8" a="1"/>
  <c r="H273" i="8" s="1"/>
  <c r="I273" i="8"/>
  <c r="F272" i="8" a="1"/>
  <c r="F272" i="8" s="1"/>
  <c r="G272" i="8" a="1"/>
  <c r="G272" i="8" s="1"/>
  <c r="H272" i="8" a="1"/>
  <c r="H272" i="8" s="1"/>
  <c r="I272" i="8"/>
  <c r="F271" i="8" a="1"/>
  <c r="F271" i="8" s="1"/>
  <c r="G271" i="8" a="1"/>
  <c r="G271" i="8" s="1"/>
  <c r="H271" i="8" a="1"/>
  <c r="H271" i="8" s="1"/>
  <c r="I271" i="8"/>
  <c r="F270" i="8" a="1"/>
  <c r="F270" i="8" s="1"/>
  <c r="G270" i="8" a="1"/>
  <c r="G270" i="8" s="1"/>
  <c r="H270" i="8" a="1"/>
  <c r="H270" i="8" s="1"/>
  <c r="I270" i="8"/>
  <c r="F269" i="8" a="1"/>
  <c r="F269" i="8" s="1"/>
  <c r="G269" i="8" a="1"/>
  <c r="G269" i="8" s="1"/>
  <c r="H269" i="8" a="1"/>
  <c r="H269" i="8" s="1"/>
  <c r="I269" i="8"/>
  <c r="F268" i="8" a="1"/>
  <c r="F268" i="8" s="1"/>
  <c r="G268" i="8" a="1"/>
  <c r="G268" i="8" s="1"/>
  <c r="H268" i="8" a="1"/>
  <c r="H268" i="8" s="1"/>
  <c r="I268" i="8"/>
  <c r="F267" i="8" a="1"/>
  <c r="F267" i="8" s="1"/>
  <c r="G267" i="8" a="1"/>
  <c r="G267" i="8" s="1"/>
  <c r="H267" i="8" a="1"/>
  <c r="H267" i="8" s="1"/>
  <c r="I267" i="8"/>
  <c r="F266" i="8" a="1"/>
  <c r="F266" i="8" s="1"/>
  <c r="G266" i="8" a="1"/>
  <c r="G266" i="8" s="1"/>
  <c r="H266" i="8" a="1"/>
  <c r="H266" i="8" s="1"/>
  <c r="I266" i="8"/>
  <c r="F265" i="8" a="1"/>
  <c r="F265" i="8" s="1"/>
  <c r="G265" i="8" a="1"/>
  <c r="G265" i="8" s="1"/>
  <c r="H265" i="8" a="1"/>
  <c r="H265" i="8" s="1"/>
  <c r="I265" i="8"/>
  <c r="F264" i="8" a="1"/>
  <c r="F264" i="8" s="1"/>
  <c r="G264" i="8" a="1"/>
  <c r="G264" i="8" s="1"/>
  <c r="H264" i="8" a="1"/>
  <c r="H264" i="8" s="1"/>
  <c r="I264" i="8"/>
  <c r="F263" i="8" a="1"/>
  <c r="F263" i="8" s="1"/>
  <c r="G263" i="8" a="1"/>
  <c r="G263" i="8" s="1"/>
  <c r="H263" i="8" a="1"/>
  <c r="H263" i="8" s="1"/>
  <c r="I263" i="8"/>
  <c r="F262" i="8" a="1"/>
  <c r="F262" i="8" s="1"/>
  <c r="G262" i="8" a="1"/>
  <c r="G262" i="8" s="1"/>
  <c r="H262" i="8" a="1"/>
  <c r="H262" i="8" s="1"/>
  <c r="I262" i="8"/>
  <c r="F261" i="8" a="1"/>
  <c r="F261" i="8" s="1"/>
  <c r="G261" i="8" a="1"/>
  <c r="G261" i="8" s="1"/>
  <c r="H261" i="8" a="1"/>
  <c r="H261" i="8" s="1"/>
  <c r="I261" i="8"/>
  <c r="F260" i="8" a="1"/>
  <c r="F260" i="8" s="1"/>
  <c r="G260" i="8" a="1"/>
  <c r="G260" i="8" s="1"/>
  <c r="H260" i="8" a="1"/>
  <c r="H260" i="8" s="1"/>
  <c r="I260" i="8"/>
  <c r="F259" i="8" a="1"/>
  <c r="F259" i="8" s="1"/>
  <c r="G259" i="8" a="1"/>
  <c r="G259" i="8" s="1"/>
  <c r="H259" i="8" a="1"/>
  <c r="H259" i="8" s="1"/>
  <c r="I259" i="8"/>
  <c r="F258" i="8" a="1"/>
  <c r="F258" i="8" s="1"/>
  <c r="G258" i="8" a="1"/>
  <c r="G258" i="8" s="1"/>
  <c r="H258" i="8" a="1"/>
  <c r="H258" i="8" s="1"/>
  <c r="I258" i="8"/>
  <c r="F257" i="8" a="1"/>
  <c r="F257" i="8" s="1"/>
  <c r="G257" i="8" a="1"/>
  <c r="G257" i="8" s="1"/>
  <c r="H257" i="8" a="1"/>
  <c r="H257" i="8" s="1"/>
  <c r="I257" i="8"/>
  <c r="F256" i="8" a="1"/>
  <c r="F256" i="8" s="1"/>
  <c r="G256" i="8" a="1"/>
  <c r="G256" i="8" s="1"/>
  <c r="H256" i="8" a="1"/>
  <c r="H256" i="8" s="1"/>
  <c r="I256" i="8"/>
  <c r="F255" i="8" a="1"/>
  <c r="F255" i="8" s="1"/>
  <c r="G255" i="8" a="1"/>
  <c r="G255" i="8" s="1"/>
  <c r="H255" i="8" a="1"/>
  <c r="H255" i="8" s="1"/>
  <c r="I255" i="8"/>
  <c r="F254" i="8" a="1"/>
  <c r="F254" i="8" s="1"/>
  <c r="G254" i="8" a="1"/>
  <c r="G254" i="8" s="1"/>
  <c r="H254" i="8" a="1"/>
  <c r="H254" i="8" s="1"/>
  <c r="I254" i="8"/>
  <c r="F253" i="8" a="1"/>
  <c r="F253" i="8" s="1"/>
  <c r="G253" i="8" a="1"/>
  <c r="G253" i="8" s="1"/>
  <c r="H253" i="8" a="1"/>
  <c r="H253" i="8" s="1"/>
  <c r="I253" i="8"/>
  <c r="F252" i="8" a="1"/>
  <c r="F252" i="8" s="1"/>
  <c r="G252" i="8" a="1"/>
  <c r="G252" i="8" s="1"/>
  <c r="H252" i="8" a="1"/>
  <c r="H252" i="8" s="1"/>
  <c r="I252" i="8"/>
  <c r="F251" i="8" a="1"/>
  <c r="F251" i="8" s="1"/>
  <c r="G251" i="8" a="1"/>
  <c r="G251" i="8" s="1"/>
  <c r="H251" i="8" a="1"/>
  <c r="H251" i="8" s="1"/>
  <c r="I251" i="8"/>
  <c r="F250" i="8" a="1"/>
  <c r="F250" i="8" s="1"/>
  <c r="G250" i="8" a="1"/>
  <c r="G250" i="8" s="1"/>
  <c r="H250" i="8" a="1"/>
  <c r="H250" i="8" s="1"/>
  <c r="I250" i="8"/>
  <c r="F249" i="8" a="1"/>
  <c r="F249" i="8" s="1"/>
  <c r="G249" i="8" a="1"/>
  <c r="G249" i="8" s="1"/>
  <c r="H249" i="8" a="1"/>
  <c r="H249" i="8" s="1"/>
  <c r="I249" i="8"/>
  <c r="F248" i="8" a="1"/>
  <c r="F248" i="8" s="1"/>
  <c r="G248" i="8" a="1"/>
  <c r="G248" i="8" s="1"/>
  <c r="H248" i="8" a="1"/>
  <c r="H248" i="8" s="1"/>
  <c r="I248" i="8"/>
  <c r="F247" i="8" a="1"/>
  <c r="F247" i="8" s="1"/>
  <c r="G247" i="8" a="1"/>
  <c r="G247" i="8" s="1"/>
  <c r="H247" i="8" a="1"/>
  <c r="H247" i="8" s="1"/>
  <c r="I247" i="8"/>
  <c r="F246" i="8" a="1"/>
  <c r="F246" i="8" s="1"/>
  <c r="G246" i="8" a="1"/>
  <c r="G246" i="8" s="1"/>
  <c r="H246" i="8" a="1"/>
  <c r="H246" i="8" s="1"/>
  <c r="I246" i="8"/>
  <c r="F245" i="8" a="1"/>
  <c r="F245" i="8" s="1"/>
  <c r="G245" i="8" a="1"/>
  <c r="G245" i="8" s="1"/>
  <c r="H245" i="8" a="1"/>
  <c r="H245" i="8" s="1"/>
  <c r="I245" i="8"/>
  <c r="F244" i="8" a="1"/>
  <c r="F244" i="8" s="1"/>
  <c r="G244" i="8" a="1"/>
  <c r="G244" i="8" s="1"/>
  <c r="H244" i="8" a="1"/>
  <c r="H244" i="8" s="1"/>
  <c r="I244" i="8"/>
  <c r="F243" i="8" a="1"/>
  <c r="F243" i="8" s="1"/>
  <c r="G243" i="8" a="1"/>
  <c r="G243" i="8" s="1"/>
  <c r="H243" i="8" a="1"/>
  <c r="H243" i="8" s="1"/>
  <c r="I243" i="8"/>
  <c r="F242" i="8" a="1"/>
  <c r="F242" i="8" s="1"/>
  <c r="G242" i="8" a="1"/>
  <c r="G242" i="8" s="1"/>
  <c r="H242" i="8" a="1"/>
  <c r="H242" i="8" s="1"/>
  <c r="I242" i="8"/>
  <c r="F241" i="8" a="1"/>
  <c r="F241" i="8" s="1"/>
  <c r="G241" i="8" a="1"/>
  <c r="G241" i="8" s="1"/>
  <c r="H241" i="8" a="1"/>
  <c r="H241" i="8" s="1"/>
  <c r="I241" i="8"/>
  <c r="F240" i="8" a="1"/>
  <c r="F240" i="8" s="1"/>
  <c r="G240" i="8" a="1"/>
  <c r="G240" i="8" s="1"/>
  <c r="H240" i="8" a="1"/>
  <c r="H240" i="8" s="1"/>
  <c r="I240" i="8"/>
  <c r="F239" i="8" a="1"/>
  <c r="F239" i="8" s="1"/>
  <c r="G239" i="8" a="1"/>
  <c r="G239" i="8" s="1"/>
  <c r="H239" i="8" a="1"/>
  <c r="H239" i="8" s="1"/>
  <c r="I239" i="8"/>
  <c r="F238" i="8" a="1"/>
  <c r="F238" i="8" s="1"/>
  <c r="G238" i="8" a="1"/>
  <c r="G238" i="8" s="1"/>
  <c r="H238" i="8" a="1"/>
  <c r="H238" i="8" s="1"/>
  <c r="I238" i="8"/>
  <c r="F237" i="8" a="1"/>
  <c r="F237" i="8" s="1"/>
  <c r="G237" i="8" a="1"/>
  <c r="G237" i="8" s="1"/>
  <c r="H237" i="8" a="1"/>
  <c r="H237" i="8" s="1"/>
  <c r="I237" i="8"/>
  <c r="F236" i="8" a="1"/>
  <c r="F236" i="8" s="1"/>
  <c r="G236" i="8" a="1"/>
  <c r="G236" i="8" s="1"/>
  <c r="H236" i="8" a="1"/>
  <c r="H236" i="8" s="1"/>
  <c r="I236" i="8"/>
  <c r="F235" i="8" a="1"/>
  <c r="F235" i="8" s="1"/>
  <c r="G235" i="8" a="1"/>
  <c r="G235" i="8" s="1"/>
  <c r="H235" i="8" a="1"/>
  <c r="H235" i="8" s="1"/>
  <c r="I235" i="8"/>
  <c r="F234" i="8" a="1"/>
  <c r="F234" i="8" s="1"/>
  <c r="G234" i="8" a="1"/>
  <c r="G234" i="8" s="1"/>
  <c r="H234" i="8" a="1"/>
  <c r="H234" i="8" s="1"/>
  <c r="I234" i="8"/>
  <c r="F233" i="8" a="1"/>
  <c r="F233" i="8" s="1"/>
  <c r="G233" i="8" a="1"/>
  <c r="G233" i="8" s="1"/>
  <c r="H233" i="8" a="1"/>
  <c r="H233" i="8" s="1"/>
  <c r="I233" i="8"/>
  <c r="F232" i="8" a="1"/>
  <c r="F232" i="8" s="1"/>
  <c r="G232" i="8" a="1"/>
  <c r="G232" i="8" s="1"/>
  <c r="H232" i="8" a="1"/>
  <c r="H232" i="8" s="1"/>
  <c r="I232" i="8"/>
  <c r="F231" i="8" a="1"/>
  <c r="F231" i="8" s="1"/>
  <c r="G231" i="8" a="1"/>
  <c r="G231" i="8" s="1"/>
  <c r="H231" i="8" a="1"/>
  <c r="H231" i="8" s="1"/>
  <c r="I231" i="8"/>
  <c r="F230" i="8" a="1"/>
  <c r="F230" i="8" s="1"/>
  <c r="G230" i="8" a="1"/>
  <c r="G230" i="8" s="1"/>
  <c r="H230" i="8" a="1"/>
  <c r="H230" i="8" s="1"/>
  <c r="I230" i="8"/>
  <c r="F229" i="8" a="1"/>
  <c r="F229" i="8" s="1"/>
  <c r="G229" i="8" a="1"/>
  <c r="G229" i="8" s="1"/>
  <c r="H229" i="8" a="1"/>
  <c r="H229" i="8" s="1"/>
  <c r="I229" i="8"/>
  <c r="F228" i="8" a="1"/>
  <c r="F228" i="8" s="1"/>
  <c r="G228" i="8" a="1"/>
  <c r="G228" i="8" s="1"/>
  <c r="H228" i="8" a="1"/>
  <c r="H228" i="8" s="1"/>
  <c r="I228" i="8"/>
  <c r="F227" i="8" a="1"/>
  <c r="F227" i="8" s="1"/>
  <c r="G227" i="8" a="1"/>
  <c r="G227" i="8" s="1"/>
  <c r="H227" i="8" a="1"/>
  <c r="H227" i="8" s="1"/>
  <c r="I227" i="8"/>
  <c r="F226" i="8" a="1"/>
  <c r="F226" i="8" s="1"/>
  <c r="G226" i="8" a="1"/>
  <c r="G226" i="8" s="1"/>
  <c r="H226" i="8" a="1"/>
  <c r="H226" i="8" s="1"/>
  <c r="I226" i="8"/>
  <c r="F225" i="8" a="1"/>
  <c r="F225" i="8" s="1"/>
  <c r="G225" i="8" a="1"/>
  <c r="G225" i="8" s="1"/>
  <c r="H225" i="8" a="1"/>
  <c r="H225" i="8" s="1"/>
  <c r="I225" i="8"/>
  <c r="F224" i="8" a="1"/>
  <c r="F224" i="8" s="1"/>
  <c r="G224" i="8" a="1"/>
  <c r="G224" i="8" s="1"/>
  <c r="H224" i="8" a="1"/>
  <c r="H224" i="8" s="1"/>
  <c r="I224" i="8"/>
  <c r="F223" i="8" a="1"/>
  <c r="F223" i="8" s="1"/>
  <c r="G223" i="8" a="1"/>
  <c r="G223" i="8" s="1"/>
  <c r="H223" i="8" a="1"/>
  <c r="H223" i="8" s="1"/>
  <c r="I223" i="8"/>
  <c r="F222" i="8" a="1"/>
  <c r="F222" i="8" s="1"/>
  <c r="G222" i="8" a="1"/>
  <c r="G222" i="8" s="1"/>
  <c r="H222" i="8" a="1"/>
  <c r="H222" i="8" s="1"/>
  <c r="I222" i="8"/>
  <c r="F221" i="8" a="1"/>
  <c r="F221" i="8" s="1"/>
  <c r="G221" i="8" a="1"/>
  <c r="G221" i="8" s="1"/>
  <c r="H221" i="8" a="1"/>
  <c r="H221" i="8" s="1"/>
  <c r="I221" i="8"/>
  <c r="F220" i="8" a="1"/>
  <c r="F220" i="8" s="1"/>
  <c r="G220" i="8" a="1"/>
  <c r="G220" i="8" s="1"/>
  <c r="H220" i="8" a="1"/>
  <c r="H220" i="8" s="1"/>
  <c r="I220" i="8"/>
  <c r="F219" i="8" a="1"/>
  <c r="F219" i="8" s="1"/>
  <c r="G219" i="8" a="1"/>
  <c r="G219" i="8" s="1"/>
  <c r="H219" i="8" a="1"/>
  <c r="H219" i="8" s="1"/>
  <c r="I219" i="8"/>
  <c r="F218" i="8" a="1"/>
  <c r="F218" i="8" s="1"/>
  <c r="G218" i="8" a="1"/>
  <c r="G218" i="8" s="1"/>
  <c r="H218" i="8" a="1"/>
  <c r="H218" i="8" s="1"/>
  <c r="I218" i="8"/>
  <c r="F217" i="8" a="1"/>
  <c r="F217" i="8" s="1"/>
  <c r="G217" i="8" a="1"/>
  <c r="G217" i="8" s="1"/>
  <c r="H217" i="8" a="1"/>
  <c r="H217" i="8" s="1"/>
  <c r="I217" i="8"/>
  <c r="F216" i="8" a="1"/>
  <c r="F216" i="8" s="1"/>
  <c r="G216" i="8" a="1"/>
  <c r="G216" i="8" s="1"/>
  <c r="H216" i="8" a="1"/>
  <c r="H216" i="8" s="1"/>
  <c r="I216" i="8"/>
  <c r="F215" i="8" a="1"/>
  <c r="F215" i="8" s="1"/>
  <c r="G215" i="8" a="1"/>
  <c r="G215" i="8" s="1"/>
  <c r="H215" i="8" a="1"/>
  <c r="H215" i="8" s="1"/>
  <c r="I215" i="8"/>
  <c r="F214" i="8" a="1"/>
  <c r="F214" i="8" s="1"/>
  <c r="G214" i="8" a="1"/>
  <c r="G214" i="8" s="1"/>
  <c r="H214" i="8" a="1"/>
  <c r="H214" i="8" s="1"/>
  <c r="I214" i="8"/>
  <c r="F213" i="8" a="1"/>
  <c r="F213" i="8" s="1"/>
  <c r="G213" i="8" a="1"/>
  <c r="G213" i="8" s="1"/>
  <c r="H213" i="8" a="1"/>
  <c r="H213" i="8" s="1"/>
  <c r="I213" i="8"/>
  <c r="F212" i="8" a="1"/>
  <c r="F212" i="8" s="1"/>
  <c r="G212" i="8" a="1"/>
  <c r="G212" i="8" s="1"/>
  <c r="H212" i="8" a="1"/>
  <c r="H212" i="8" s="1"/>
  <c r="I212" i="8"/>
  <c r="F211" i="8" a="1"/>
  <c r="F211" i="8" s="1"/>
  <c r="G211" i="8" a="1"/>
  <c r="G211" i="8" s="1"/>
  <c r="H211" i="8" a="1"/>
  <c r="H211" i="8" s="1"/>
  <c r="I211" i="8"/>
  <c r="F210" i="8" a="1"/>
  <c r="F210" i="8" s="1"/>
  <c r="G210" i="8" a="1"/>
  <c r="G210" i="8" s="1"/>
  <c r="H210" i="8" a="1"/>
  <c r="H210" i="8" s="1"/>
  <c r="I210" i="8"/>
  <c r="F209" i="8" a="1"/>
  <c r="F209" i="8" s="1"/>
  <c r="G209" i="8" a="1"/>
  <c r="G209" i="8" s="1"/>
  <c r="H209" i="8" a="1"/>
  <c r="H209" i="8" s="1"/>
  <c r="I209" i="8"/>
  <c r="F208" i="8" a="1"/>
  <c r="F208" i="8" s="1"/>
  <c r="G208" i="8" a="1"/>
  <c r="G208" i="8" s="1"/>
  <c r="H208" i="8" a="1"/>
  <c r="H208" i="8" s="1"/>
  <c r="I208" i="8"/>
  <c r="F207" i="8" a="1"/>
  <c r="F207" i="8" s="1"/>
  <c r="G207" i="8" a="1"/>
  <c r="G207" i="8" s="1"/>
  <c r="H207" i="8" a="1"/>
  <c r="H207" i="8" s="1"/>
  <c r="I207" i="8"/>
  <c r="F206" i="8" a="1"/>
  <c r="F206" i="8" s="1"/>
  <c r="G206" i="8" a="1"/>
  <c r="G206" i="8" s="1"/>
  <c r="H206" i="8" a="1"/>
  <c r="H206" i="8" s="1"/>
  <c r="I206" i="8"/>
  <c r="F205" i="8" a="1"/>
  <c r="F205" i="8" s="1"/>
  <c r="G205" i="8" a="1"/>
  <c r="G205" i="8" s="1"/>
  <c r="H205" i="8" a="1"/>
  <c r="H205" i="8" s="1"/>
  <c r="I205" i="8"/>
  <c r="F204" i="8" a="1"/>
  <c r="F204" i="8" s="1"/>
  <c r="G204" i="8" a="1"/>
  <c r="G204" i="8" s="1"/>
  <c r="H204" i="8" a="1"/>
  <c r="H204" i="8" s="1"/>
  <c r="I204" i="8"/>
  <c r="F203" i="8" a="1"/>
  <c r="F203" i="8" s="1"/>
  <c r="G203" i="8" a="1"/>
  <c r="G203" i="8" s="1"/>
  <c r="H203" i="8" a="1"/>
  <c r="H203" i="8" s="1"/>
  <c r="I203" i="8"/>
  <c r="F202" i="8" a="1"/>
  <c r="F202" i="8" s="1"/>
  <c r="G202" i="8" a="1"/>
  <c r="G202" i="8" s="1"/>
  <c r="H202" i="8" a="1"/>
  <c r="H202" i="8" s="1"/>
  <c r="I202" i="8"/>
  <c r="F201" i="8" a="1"/>
  <c r="F201" i="8" s="1"/>
  <c r="G201" i="8" a="1"/>
  <c r="G201" i="8" s="1"/>
  <c r="H201" i="8" a="1"/>
  <c r="H201" i="8" s="1"/>
  <c r="I201" i="8"/>
  <c r="F200" i="8" a="1"/>
  <c r="F200" i="8" s="1"/>
  <c r="G200" i="8" a="1"/>
  <c r="G200" i="8" s="1"/>
  <c r="H200" i="8" a="1"/>
  <c r="H200" i="8" s="1"/>
  <c r="I200" i="8"/>
  <c r="F199" i="8" a="1"/>
  <c r="F199" i="8" s="1"/>
  <c r="G199" i="8" a="1"/>
  <c r="G199" i="8" s="1"/>
  <c r="H199" i="8" a="1"/>
  <c r="H199" i="8" s="1"/>
  <c r="I199" i="8"/>
  <c r="F198" i="8" a="1"/>
  <c r="F198" i="8" s="1"/>
  <c r="G198" i="8" a="1"/>
  <c r="G198" i="8" s="1"/>
  <c r="H198" i="8" a="1"/>
  <c r="H198" i="8" s="1"/>
  <c r="I198" i="8"/>
  <c r="F197" i="8" a="1"/>
  <c r="F197" i="8" s="1"/>
  <c r="G197" i="8" a="1"/>
  <c r="G197" i="8" s="1"/>
  <c r="H197" i="8" a="1"/>
  <c r="H197" i="8" s="1"/>
  <c r="I197" i="8"/>
  <c r="F196" i="8" a="1"/>
  <c r="F196" i="8" s="1"/>
  <c r="G196" i="8" a="1"/>
  <c r="G196" i="8" s="1"/>
  <c r="H196" i="8" a="1"/>
  <c r="H196" i="8" s="1"/>
  <c r="I196" i="8"/>
  <c r="F195" i="8" a="1"/>
  <c r="F195" i="8" s="1"/>
  <c r="G195" i="8" a="1"/>
  <c r="G195" i="8" s="1"/>
  <c r="H195" i="8" a="1"/>
  <c r="H195" i="8" s="1"/>
  <c r="I195" i="8"/>
  <c r="F194" i="8" a="1"/>
  <c r="F194" i="8" s="1"/>
  <c r="G194" i="8" a="1"/>
  <c r="G194" i="8" s="1"/>
  <c r="H194" i="8" a="1"/>
  <c r="H194" i="8" s="1"/>
  <c r="I194" i="8"/>
  <c r="F193" i="8" a="1"/>
  <c r="F193" i="8" s="1"/>
  <c r="G193" i="8" a="1"/>
  <c r="G193" i="8" s="1"/>
  <c r="H193" i="8" a="1"/>
  <c r="H193" i="8" s="1"/>
  <c r="I193" i="8"/>
  <c r="F192" i="8" a="1"/>
  <c r="F192" i="8" s="1"/>
  <c r="G192" i="8" a="1"/>
  <c r="G192" i="8" s="1"/>
  <c r="H192" i="8" a="1"/>
  <c r="H192" i="8" s="1"/>
  <c r="I192" i="8"/>
  <c r="F191" i="8" a="1"/>
  <c r="F191" i="8" s="1"/>
  <c r="G191" i="8" a="1"/>
  <c r="G191" i="8" s="1"/>
  <c r="H191" i="8" a="1"/>
  <c r="H191" i="8" s="1"/>
  <c r="I191" i="8"/>
  <c r="F190" i="8" a="1"/>
  <c r="F190" i="8" s="1"/>
  <c r="G190" i="8" a="1"/>
  <c r="G190" i="8" s="1"/>
  <c r="H190" i="8" a="1"/>
  <c r="H190" i="8" s="1"/>
  <c r="I190" i="8"/>
  <c r="F189" i="8" a="1"/>
  <c r="F189" i="8" s="1"/>
  <c r="G189" i="8" a="1"/>
  <c r="G189" i="8" s="1"/>
  <c r="H189" i="8" a="1"/>
  <c r="H189" i="8" s="1"/>
  <c r="I189" i="8"/>
  <c r="F188" i="8" a="1"/>
  <c r="F188" i="8" s="1"/>
  <c r="G188" i="8" a="1"/>
  <c r="G188" i="8" s="1"/>
  <c r="H188" i="8" a="1"/>
  <c r="H188" i="8" s="1"/>
  <c r="I188" i="8"/>
  <c r="F187" i="8" a="1"/>
  <c r="F187" i="8" s="1"/>
  <c r="G187" i="8" a="1"/>
  <c r="G187" i="8" s="1"/>
  <c r="H187" i="8" a="1"/>
  <c r="H187" i="8" s="1"/>
  <c r="I187" i="8"/>
  <c r="F186" i="8" a="1"/>
  <c r="F186" i="8" s="1"/>
  <c r="G186" i="8" a="1"/>
  <c r="G186" i="8" s="1"/>
  <c r="H186" i="8" a="1"/>
  <c r="H186" i="8" s="1"/>
  <c r="I186" i="8"/>
  <c r="F185" i="8" a="1"/>
  <c r="F185" i="8" s="1"/>
  <c r="G185" i="8" a="1"/>
  <c r="G185" i="8" s="1"/>
  <c r="H185" i="8" a="1"/>
  <c r="H185" i="8" s="1"/>
  <c r="I185" i="8"/>
  <c r="F184" i="8" a="1"/>
  <c r="F184" i="8" s="1"/>
  <c r="G184" i="8" a="1"/>
  <c r="G184" i="8" s="1"/>
  <c r="H184" i="8" a="1"/>
  <c r="H184" i="8" s="1"/>
  <c r="I184" i="8"/>
  <c r="F183" i="8" a="1"/>
  <c r="F183" i="8" s="1"/>
  <c r="G183" i="8" a="1"/>
  <c r="G183" i="8" s="1"/>
  <c r="H183" i="8" a="1"/>
  <c r="H183" i="8" s="1"/>
  <c r="I183" i="8"/>
  <c r="F182" i="8" a="1"/>
  <c r="F182" i="8" s="1"/>
  <c r="G182" i="8" a="1"/>
  <c r="G182" i="8" s="1"/>
  <c r="H182" i="8" a="1"/>
  <c r="H182" i="8" s="1"/>
  <c r="I182" i="8"/>
  <c r="F181" i="8" a="1"/>
  <c r="F181" i="8" s="1"/>
  <c r="G181" i="8" a="1"/>
  <c r="G181" i="8" s="1"/>
  <c r="H181" i="8" a="1"/>
  <c r="H181" i="8" s="1"/>
  <c r="I181" i="8"/>
  <c r="F180" i="8" a="1"/>
  <c r="F180" i="8" s="1"/>
  <c r="G180" i="8" a="1"/>
  <c r="G180" i="8" s="1"/>
  <c r="H180" i="8" a="1"/>
  <c r="H180" i="8" s="1"/>
  <c r="I180" i="8"/>
  <c r="F179" i="8" a="1"/>
  <c r="F179" i="8" s="1"/>
  <c r="G179" i="8" a="1"/>
  <c r="G179" i="8" s="1"/>
  <c r="H179" i="8" a="1"/>
  <c r="H179" i="8" s="1"/>
  <c r="I179" i="8"/>
  <c r="F178" i="8" a="1"/>
  <c r="F178" i="8" s="1"/>
  <c r="G178" i="8" a="1"/>
  <c r="G178" i="8" s="1"/>
  <c r="H178" i="8" a="1"/>
  <c r="H178" i="8" s="1"/>
  <c r="I178" i="8"/>
  <c r="F177" i="8" a="1"/>
  <c r="F177" i="8" s="1"/>
  <c r="G177" i="8" a="1"/>
  <c r="G177" i="8" s="1"/>
  <c r="H177" i="8" a="1"/>
  <c r="H177" i="8" s="1"/>
  <c r="I177" i="8"/>
  <c r="F176" i="8" a="1"/>
  <c r="F176" i="8" s="1"/>
  <c r="G176" i="8" a="1"/>
  <c r="G176" i="8" s="1"/>
  <c r="H176" i="8" a="1"/>
  <c r="H176" i="8" s="1"/>
  <c r="I176" i="8"/>
  <c r="F175" i="8" a="1"/>
  <c r="F175" i="8" s="1"/>
  <c r="G175" i="8" a="1"/>
  <c r="G175" i="8" s="1"/>
  <c r="H175" i="8" a="1"/>
  <c r="H175" i="8" s="1"/>
  <c r="I175" i="8"/>
  <c r="F174" i="8" a="1"/>
  <c r="F174" i="8" s="1"/>
  <c r="G174" i="8" a="1"/>
  <c r="G174" i="8" s="1"/>
  <c r="H174" i="8" a="1"/>
  <c r="H174" i="8" s="1"/>
  <c r="I174" i="8"/>
  <c r="F173" i="8" a="1"/>
  <c r="F173" i="8" s="1"/>
  <c r="G173" i="8" a="1"/>
  <c r="G173" i="8" s="1"/>
  <c r="H173" i="8" a="1"/>
  <c r="H173" i="8" s="1"/>
  <c r="I173" i="8"/>
  <c r="F172" i="8" a="1"/>
  <c r="F172" i="8" s="1"/>
  <c r="G172" i="8" a="1"/>
  <c r="G172" i="8" s="1"/>
  <c r="H172" i="8" a="1"/>
  <c r="H172" i="8" s="1"/>
  <c r="I172" i="8"/>
  <c r="F171" i="8" a="1"/>
  <c r="F171" i="8" s="1"/>
  <c r="G171" i="8" a="1"/>
  <c r="G171" i="8" s="1"/>
  <c r="H171" i="8" a="1"/>
  <c r="H171" i="8" s="1"/>
  <c r="I171" i="8"/>
  <c r="F170" i="8" a="1"/>
  <c r="F170" i="8" s="1"/>
  <c r="G170" i="8" a="1"/>
  <c r="G170" i="8" s="1"/>
  <c r="H170" i="8" a="1"/>
  <c r="H170" i="8" s="1"/>
  <c r="I170" i="8"/>
  <c r="F169" i="8" a="1"/>
  <c r="F169" i="8" s="1"/>
  <c r="G169" i="8" a="1"/>
  <c r="G169" i="8" s="1"/>
  <c r="H169" i="8" a="1"/>
  <c r="H169" i="8" s="1"/>
  <c r="I169" i="8"/>
  <c r="F168" i="8" a="1"/>
  <c r="F168" i="8" s="1"/>
  <c r="G168" i="8" a="1"/>
  <c r="G168" i="8" s="1"/>
  <c r="H168" i="8" a="1"/>
  <c r="H168" i="8" s="1"/>
  <c r="I168" i="8"/>
  <c r="F167" i="8" a="1"/>
  <c r="F167" i="8" s="1"/>
  <c r="G167" i="8" a="1"/>
  <c r="G167" i="8" s="1"/>
  <c r="H167" i="8" a="1"/>
  <c r="H167" i="8" s="1"/>
  <c r="I167" i="8"/>
  <c r="F166" i="8" a="1"/>
  <c r="F166" i="8" s="1"/>
  <c r="G166" i="8" a="1"/>
  <c r="G166" i="8" s="1"/>
  <c r="H166" i="8" a="1"/>
  <c r="H166" i="8" s="1"/>
  <c r="I166" i="8"/>
  <c r="F165" i="8" a="1"/>
  <c r="F165" i="8" s="1"/>
  <c r="G165" i="8" a="1"/>
  <c r="G165" i="8" s="1"/>
  <c r="H165" i="8" a="1"/>
  <c r="H165" i="8" s="1"/>
  <c r="I165" i="8"/>
  <c r="F164" i="8" a="1"/>
  <c r="F164" i="8" s="1"/>
  <c r="G164" i="8" a="1"/>
  <c r="G164" i="8" s="1"/>
  <c r="H164" i="8" a="1"/>
  <c r="H164" i="8" s="1"/>
  <c r="I164" i="8"/>
  <c r="F163" i="8" a="1"/>
  <c r="F163" i="8" s="1"/>
  <c r="G163" i="8" a="1"/>
  <c r="G163" i="8" s="1"/>
  <c r="H163" i="8" a="1"/>
  <c r="H163" i="8" s="1"/>
  <c r="I163" i="8"/>
  <c r="F162" i="8" a="1"/>
  <c r="F162" i="8" s="1"/>
  <c r="G162" i="8" a="1"/>
  <c r="G162" i="8" s="1"/>
  <c r="H162" i="8" a="1"/>
  <c r="H162" i="8" s="1"/>
  <c r="I162" i="8"/>
  <c r="F161" i="8" a="1"/>
  <c r="F161" i="8" s="1"/>
  <c r="G161" i="8" a="1"/>
  <c r="G161" i="8" s="1"/>
  <c r="H161" i="8" a="1"/>
  <c r="H161" i="8" s="1"/>
  <c r="I161" i="8"/>
  <c r="F160" i="8" a="1"/>
  <c r="F160" i="8" s="1"/>
  <c r="G160" i="8" a="1"/>
  <c r="G160" i="8" s="1"/>
  <c r="H160" i="8" a="1"/>
  <c r="H160" i="8" s="1"/>
  <c r="I160" i="8"/>
  <c r="F159" i="8" a="1"/>
  <c r="F159" i="8" s="1"/>
  <c r="G159" i="8" a="1"/>
  <c r="G159" i="8" s="1"/>
  <c r="H159" i="8" a="1"/>
  <c r="H159" i="8" s="1"/>
  <c r="I159" i="8"/>
  <c r="F158" i="8" a="1"/>
  <c r="F158" i="8" s="1"/>
  <c r="G158" i="8" a="1"/>
  <c r="G158" i="8" s="1"/>
  <c r="H158" i="8" a="1"/>
  <c r="H158" i="8" s="1"/>
  <c r="I158" i="8"/>
  <c r="F157" i="8" a="1"/>
  <c r="F157" i="8" s="1"/>
  <c r="G157" i="8" a="1"/>
  <c r="G157" i="8" s="1"/>
  <c r="H157" i="8" a="1"/>
  <c r="H157" i="8" s="1"/>
  <c r="I157" i="8"/>
  <c r="F156" i="8" a="1"/>
  <c r="F156" i="8" s="1"/>
  <c r="G156" i="8" a="1"/>
  <c r="G156" i="8" s="1"/>
  <c r="H156" i="8" a="1"/>
  <c r="H156" i="8" s="1"/>
  <c r="I156" i="8"/>
  <c r="F155" i="8" a="1"/>
  <c r="F155" i="8" s="1"/>
  <c r="G155" i="8" a="1"/>
  <c r="G155" i="8" s="1"/>
  <c r="H155" i="8" a="1"/>
  <c r="H155" i="8" s="1"/>
  <c r="I155" i="8"/>
  <c r="F154" i="8" a="1"/>
  <c r="F154" i="8" s="1"/>
  <c r="G154" i="8" a="1"/>
  <c r="G154" i="8" s="1"/>
  <c r="H154" i="8" a="1"/>
  <c r="H154" i="8" s="1"/>
  <c r="I154" i="8"/>
  <c r="F153" i="8" a="1"/>
  <c r="F153" i="8" s="1"/>
  <c r="G153" i="8" a="1"/>
  <c r="G153" i="8" s="1"/>
  <c r="H153" i="8" a="1"/>
  <c r="H153" i="8" s="1"/>
  <c r="I153" i="8"/>
  <c r="F152" i="8" a="1"/>
  <c r="F152" i="8" s="1"/>
  <c r="G152" i="8" a="1"/>
  <c r="G152" i="8" s="1"/>
  <c r="H152" i="8" a="1"/>
  <c r="H152" i="8" s="1"/>
  <c r="I152" i="8"/>
  <c r="F151" i="8" a="1"/>
  <c r="F151" i="8" s="1"/>
  <c r="G151" i="8" a="1"/>
  <c r="G151" i="8" s="1"/>
  <c r="H151" i="8" a="1"/>
  <c r="H151" i="8" s="1"/>
  <c r="I151" i="8"/>
  <c r="F150" i="8" a="1"/>
  <c r="F150" i="8" s="1"/>
  <c r="G150" i="8" a="1"/>
  <c r="G150" i="8" s="1"/>
  <c r="H150" i="8" a="1"/>
  <c r="H150" i="8" s="1"/>
  <c r="I150" i="8"/>
  <c r="F149" i="8" a="1"/>
  <c r="F149" i="8" s="1"/>
  <c r="G149" i="8" a="1"/>
  <c r="G149" i="8" s="1"/>
  <c r="H149" i="8" a="1"/>
  <c r="H149" i="8" s="1"/>
  <c r="I149" i="8"/>
  <c r="F148" i="8" a="1"/>
  <c r="F148" i="8" s="1"/>
  <c r="G148" i="8" a="1"/>
  <c r="G148" i="8" s="1"/>
  <c r="H148" i="8" a="1"/>
  <c r="H148" i="8" s="1"/>
  <c r="I148" i="8"/>
  <c r="F147" i="8" a="1"/>
  <c r="F147" i="8" s="1"/>
  <c r="G147" i="8" a="1"/>
  <c r="G147" i="8" s="1"/>
  <c r="H147" i="8" a="1"/>
  <c r="H147" i="8" s="1"/>
  <c r="I147" i="8"/>
  <c r="F146" i="8" a="1"/>
  <c r="F146" i="8" s="1"/>
  <c r="G146" i="8" a="1"/>
  <c r="G146" i="8" s="1"/>
  <c r="H146" i="8" a="1"/>
  <c r="H146" i="8" s="1"/>
  <c r="I146" i="8"/>
  <c r="F145" i="8" a="1"/>
  <c r="F145" i="8" s="1"/>
  <c r="G145" i="8" a="1"/>
  <c r="G145" i="8" s="1"/>
  <c r="H145" i="8" a="1"/>
  <c r="H145" i="8" s="1"/>
  <c r="I145" i="8"/>
  <c r="F144" i="8" a="1"/>
  <c r="F144" i="8" s="1"/>
  <c r="G144" i="8" a="1"/>
  <c r="G144" i="8" s="1"/>
  <c r="H144" i="8" a="1"/>
  <c r="H144" i="8" s="1"/>
  <c r="I144" i="8"/>
  <c r="F143" i="8" a="1"/>
  <c r="F143" i="8" s="1"/>
  <c r="G143" i="8" a="1"/>
  <c r="G143" i="8" s="1"/>
  <c r="H143" i="8" a="1"/>
  <c r="H143" i="8" s="1"/>
  <c r="I143" i="8"/>
  <c r="F142" i="8" a="1"/>
  <c r="F142" i="8" s="1"/>
  <c r="G142" i="8" a="1"/>
  <c r="G142" i="8" s="1"/>
  <c r="H142" i="8" a="1"/>
  <c r="H142" i="8" s="1"/>
  <c r="I142" i="8"/>
  <c r="F141" i="8" a="1"/>
  <c r="F141" i="8" s="1"/>
  <c r="G141" i="8" a="1"/>
  <c r="G141" i="8" s="1"/>
  <c r="H141" i="8" a="1"/>
  <c r="H141" i="8" s="1"/>
  <c r="I141" i="8"/>
  <c r="F140" i="8" a="1"/>
  <c r="F140" i="8" s="1"/>
  <c r="G140" i="8" a="1"/>
  <c r="G140" i="8" s="1"/>
  <c r="H140" i="8" a="1"/>
  <c r="H140" i="8" s="1"/>
  <c r="I140" i="8"/>
  <c r="F139" i="8" a="1"/>
  <c r="F139" i="8" s="1"/>
  <c r="G139" i="8" a="1"/>
  <c r="G139" i="8" s="1"/>
  <c r="H139" i="8" a="1"/>
  <c r="H139" i="8" s="1"/>
  <c r="I139" i="8"/>
  <c r="F138" i="8" a="1"/>
  <c r="F138" i="8" s="1"/>
  <c r="G138" i="8" a="1"/>
  <c r="G138" i="8" s="1"/>
  <c r="H138" i="8" a="1"/>
  <c r="H138" i="8" s="1"/>
  <c r="I138" i="8"/>
  <c r="F137" i="8" a="1"/>
  <c r="F137" i="8" s="1"/>
  <c r="G137" i="8" a="1"/>
  <c r="G137" i="8" s="1"/>
  <c r="H137" i="8" a="1"/>
  <c r="H137" i="8" s="1"/>
  <c r="I137" i="8"/>
  <c r="F136" i="8" a="1"/>
  <c r="F136" i="8" s="1"/>
  <c r="G136" i="8" a="1"/>
  <c r="G136" i="8" s="1"/>
  <c r="H136" i="8" a="1"/>
  <c r="H136" i="8" s="1"/>
  <c r="I136" i="8"/>
  <c r="F135" i="8" a="1"/>
  <c r="F135" i="8" s="1"/>
  <c r="G135" i="8" a="1"/>
  <c r="G135" i="8" s="1"/>
  <c r="H135" i="8" a="1"/>
  <c r="H135" i="8" s="1"/>
  <c r="I135" i="8"/>
  <c r="F134" i="8" a="1"/>
  <c r="F134" i="8" s="1"/>
  <c r="G134" i="8" a="1"/>
  <c r="G134" i="8" s="1"/>
  <c r="H134" i="8" a="1"/>
  <c r="H134" i="8" s="1"/>
  <c r="I134" i="8"/>
  <c r="F133" i="8" a="1"/>
  <c r="F133" i="8" s="1"/>
  <c r="G133" i="8" a="1"/>
  <c r="G133" i="8" s="1"/>
  <c r="H133" i="8" a="1"/>
  <c r="H133" i="8" s="1"/>
  <c r="I133" i="8"/>
  <c r="F132" i="8" a="1"/>
  <c r="F132" i="8" s="1"/>
  <c r="G132" i="8" a="1"/>
  <c r="G132" i="8" s="1"/>
  <c r="H132" i="8" a="1"/>
  <c r="H132" i="8" s="1"/>
  <c r="I132" i="8"/>
  <c r="F131" i="8" a="1"/>
  <c r="F131" i="8" s="1"/>
  <c r="G131" i="8" a="1"/>
  <c r="G131" i="8" s="1"/>
  <c r="H131" i="8" a="1"/>
  <c r="H131" i="8" s="1"/>
  <c r="I131" i="8"/>
  <c r="F130" i="8" a="1"/>
  <c r="F130" i="8" s="1"/>
  <c r="G130" i="8" a="1"/>
  <c r="G130" i="8" s="1"/>
  <c r="H130" i="8" a="1"/>
  <c r="H130" i="8" s="1"/>
  <c r="I130" i="8"/>
  <c r="F129" i="8" a="1"/>
  <c r="F129" i="8" s="1"/>
  <c r="G129" i="8" a="1"/>
  <c r="G129" i="8" s="1"/>
  <c r="H129" i="8" a="1"/>
  <c r="H129" i="8" s="1"/>
  <c r="I129" i="8"/>
  <c r="F128" i="8" a="1"/>
  <c r="F128" i="8" s="1"/>
  <c r="G128" i="8" a="1"/>
  <c r="G128" i="8" s="1"/>
  <c r="H128" i="8" a="1"/>
  <c r="H128" i="8" s="1"/>
  <c r="I128" i="8"/>
  <c r="F127" i="8" a="1"/>
  <c r="F127" i="8" s="1"/>
  <c r="G127" i="8" a="1"/>
  <c r="G127" i="8" s="1"/>
  <c r="H127" i="8" a="1"/>
  <c r="H127" i="8" s="1"/>
  <c r="I127" i="8"/>
  <c r="F126" i="8" a="1"/>
  <c r="F126" i="8" s="1"/>
  <c r="G126" i="8" a="1"/>
  <c r="G126" i="8" s="1"/>
  <c r="H126" i="8" a="1"/>
  <c r="H126" i="8" s="1"/>
  <c r="I126" i="8"/>
  <c r="F125" i="8" a="1"/>
  <c r="F125" i="8" s="1"/>
  <c r="G125" i="8" a="1"/>
  <c r="G125" i="8" s="1"/>
  <c r="H125" i="8" a="1"/>
  <c r="H125" i="8" s="1"/>
  <c r="I125" i="8"/>
  <c r="F124" i="8" a="1"/>
  <c r="F124" i="8" s="1"/>
  <c r="G124" i="8" a="1"/>
  <c r="G124" i="8" s="1"/>
  <c r="H124" i="8" a="1"/>
  <c r="H124" i="8" s="1"/>
  <c r="I124" i="8"/>
  <c r="F123" i="8" a="1"/>
  <c r="F123" i="8" s="1"/>
  <c r="G123" i="8" a="1"/>
  <c r="G123" i="8" s="1"/>
  <c r="H123" i="8" a="1"/>
  <c r="H123" i="8" s="1"/>
  <c r="I123" i="8"/>
  <c r="F122" i="8" a="1"/>
  <c r="F122" i="8" s="1"/>
  <c r="G122" i="8" a="1"/>
  <c r="G122" i="8" s="1"/>
  <c r="H122" i="8" a="1"/>
  <c r="H122" i="8" s="1"/>
  <c r="I122" i="8"/>
  <c r="F121" i="8" a="1"/>
  <c r="F121" i="8" s="1"/>
  <c r="G121" i="8" a="1"/>
  <c r="G121" i="8" s="1"/>
  <c r="H121" i="8" a="1"/>
  <c r="H121" i="8" s="1"/>
  <c r="I121" i="8"/>
  <c r="F120" i="8" a="1"/>
  <c r="F120" i="8" s="1"/>
  <c r="G120" i="8" a="1"/>
  <c r="G120" i="8" s="1"/>
  <c r="H120" i="8" a="1"/>
  <c r="H120" i="8" s="1"/>
  <c r="I120" i="8"/>
  <c r="F119" i="8" a="1"/>
  <c r="F119" i="8" s="1"/>
  <c r="G119" i="8" a="1"/>
  <c r="G119" i="8" s="1"/>
  <c r="H119" i="8" a="1"/>
  <c r="H119" i="8" s="1"/>
  <c r="I119" i="8"/>
  <c r="F118" i="8" a="1"/>
  <c r="F118" i="8" s="1"/>
  <c r="G118" i="8" a="1"/>
  <c r="G118" i="8" s="1"/>
  <c r="H118" i="8" a="1"/>
  <c r="H118" i="8" s="1"/>
  <c r="I118" i="8"/>
  <c r="F117" i="8" a="1"/>
  <c r="F117" i="8" s="1"/>
  <c r="G117" i="8" a="1"/>
  <c r="G117" i="8" s="1"/>
  <c r="H117" i="8" a="1"/>
  <c r="H117" i="8" s="1"/>
  <c r="I117" i="8"/>
  <c r="F116" i="8" a="1"/>
  <c r="F116" i="8" s="1"/>
  <c r="G116" i="8" a="1"/>
  <c r="G116" i="8" s="1"/>
  <c r="H116" i="8" a="1"/>
  <c r="H116" i="8" s="1"/>
  <c r="I116" i="8"/>
  <c r="F115" i="8" a="1"/>
  <c r="F115" i="8" s="1"/>
  <c r="G115" i="8" a="1"/>
  <c r="G115" i="8" s="1"/>
  <c r="H115" i="8" a="1"/>
  <c r="H115" i="8" s="1"/>
  <c r="I115" i="8"/>
  <c r="F114" i="8" a="1"/>
  <c r="F114" i="8" s="1"/>
  <c r="G114" i="8" a="1"/>
  <c r="G114" i="8" s="1"/>
  <c r="H114" i="8" a="1"/>
  <c r="H114" i="8" s="1"/>
  <c r="I114" i="8"/>
  <c r="F113" i="8" a="1"/>
  <c r="F113" i="8" s="1"/>
  <c r="G113" i="8" a="1"/>
  <c r="G113" i="8" s="1"/>
  <c r="H113" i="8" a="1"/>
  <c r="H113" i="8" s="1"/>
  <c r="I113" i="8"/>
  <c r="F112" i="8" a="1"/>
  <c r="F112" i="8" s="1"/>
  <c r="G112" i="8" a="1"/>
  <c r="G112" i="8" s="1"/>
  <c r="H112" i="8" a="1"/>
  <c r="H112" i="8" s="1"/>
  <c r="I112" i="8"/>
  <c r="F111" i="8" a="1"/>
  <c r="F111" i="8" s="1"/>
  <c r="G111" i="8" a="1"/>
  <c r="G111" i="8" s="1"/>
  <c r="H111" i="8" a="1"/>
  <c r="H111" i="8" s="1"/>
  <c r="I111" i="8"/>
  <c r="F110" i="8" a="1"/>
  <c r="F110" i="8" s="1"/>
  <c r="G110" i="8" a="1"/>
  <c r="G110" i="8" s="1"/>
  <c r="H110" i="8" a="1"/>
  <c r="H110" i="8" s="1"/>
  <c r="I110" i="8"/>
  <c r="F109" i="8" a="1"/>
  <c r="F109" i="8" s="1"/>
  <c r="G109" i="8" a="1"/>
  <c r="G109" i="8" s="1"/>
  <c r="H109" i="8" a="1"/>
  <c r="H109" i="8" s="1"/>
  <c r="I109" i="8"/>
  <c r="F108" i="8" a="1"/>
  <c r="F108" i="8" s="1"/>
  <c r="G108" i="8" a="1"/>
  <c r="G108" i="8" s="1"/>
  <c r="H108" i="8" a="1"/>
  <c r="H108" i="8" s="1"/>
  <c r="I108" i="8"/>
  <c r="F107" i="8" a="1"/>
  <c r="F107" i="8" s="1"/>
  <c r="G107" i="8" a="1"/>
  <c r="G107" i="8" s="1"/>
  <c r="H107" i="8" a="1"/>
  <c r="H107" i="8" s="1"/>
  <c r="I107" i="8"/>
  <c r="F106" i="8" a="1"/>
  <c r="F106" i="8" s="1"/>
  <c r="G106" i="8" a="1"/>
  <c r="G106" i="8" s="1"/>
  <c r="H106" i="8" a="1"/>
  <c r="H106" i="8" s="1"/>
  <c r="I106" i="8"/>
  <c r="F105" i="8" a="1"/>
  <c r="F105" i="8" s="1"/>
  <c r="G105" i="8" a="1"/>
  <c r="G105" i="8" s="1"/>
  <c r="H105" i="8" a="1"/>
  <c r="H105" i="8" s="1"/>
  <c r="I105" i="8"/>
  <c r="F104" i="8" a="1"/>
  <c r="F104" i="8" s="1"/>
  <c r="G104" i="8" a="1"/>
  <c r="G104" i="8" s="1"/>
  <c r="H104" i="8" a="1"/>
  <c r="H104" i="8" s="1"/>
  <c r="I104" i="8"/>
  <c r="F103" i="8" a="1"/>
  <c r="F103" i="8" s="1"/>
  <c r="G103" i="8" a="1"/>
  <c r="G103" i="8" s="1"/>
  <c r="H103" i="8" a="1"/>
  <c r="H103" i="8" s="1"/>
  <c r="I103" i="8"/>
  <c r="F102" i="8" a="1"/>
  <c r="F102" i="8" s="1"/>
  <c r="G102" i="8" a="1"/>
  <c r="G102" i="8" s="1"/>
  <c r="H102" i="8" a="1"/>
  <c r="H102" i="8" s="1"/>
  <c r="I102" i="8"/>
  <c r="F101" i="8" a="1"/>
  <c r="F101" i="8" s="1"/>
  <c r="G101" i="8" a="1"/>
  <c r="G101" i="8" s="1"/>
  <c r="H101" i="8" a="1"/>
  <c r="H101" i="8" s="1"/>
  <c r="I101" i="8"/>
  <c r="F100" i="8" a="1"/>
  <c r="F100" i="8" s="1"/>
  <c r="G100" i="8" a="1"/>
  <c r="G100" i="8" s="1"/>
  <c r="H100" i="8" a="1"/>
  <c r="H100" i="8" s="1"/>
  <c r="I100" i="8"/>
  <c r="F99" i="8" a="1"/>
  <c r="F99" i="8" s="1"/>
  <c r="G99" i="8" a="1"/>
  <c r="G99" i="8" s="1"/>
  <c r="H99" i="8" a="1"/>
  <c r="H99" i="8" s="1"/>
  <c r="I99" i="8"/>
  <c r="F98" i="8" a="1"/>
  <c r="F98" i="8" s="1"/>
  <c r="G98" i="8" a="1"/>
  <c r="G98" i="8" s="1"/>
  <c r="H98" i="8" a="1"/>
  <c r="H98" i="8" s="1"/>
  <c r="I98" i="8"/>
  <c r="F97" i="8" a="1"/>
  <c r="F97" i="8" s="1"/>
  <c r="G97" i="8" a="1"/>
  <c r="G97" i="8" s="1"/>
  <c r="H97" i="8" a="1"/>
  <c r="H97" i="8" s="1"/>
  <c r="I97" i="8"/>
  <c r="F96" i="8" a="1"/>
  <c r="F96" i="8" s="1"/>
  <c r="G96" i="8" a="1"/>
  <c r="G96" i="8" s="1"/>
  <c r="H96" i="8" a="1"/>
  <c r="H96" i="8" s="1"/>
  <c r="I96" i="8"/>
  <c r="F95" i="8" a="1"/>
  <c r="F95" i="8" s="1"/>
  <c r="G95" i="8" a="1"/>
  <c r="G95" i="8" s="1"/>
  <c r="H95" i="8" a="1"/>
  <c r="H95" i="8" s="1"/>
  <c r="I95" i="8"/>
  <c r="F94" i="8" a="1"/>
  <c r="F94" i="8" s="1"/>
  <c r="G94" i="8" a="1"/>
  <c r="G94" i="8" s="1"/>
  <c r="H94" i="8" a="1"/>
  <c r="H94" i="8" s="1"/>
  <c r="I94" i="8"/>
  <c r="F93" i="8" a="1"/>
  <c r="F93" i="8" s="1"/>
  <c r="G93" i="8" a="1"/>
  <c r="G93" i="8" s="1"/>
  <c r="H93" i="8" a="1"/>
  <c r="H93" i="8" s="1"/>
  <c r="I93" i="8"/>
  <c r="F92" i="8" a="1"/>
  <c r="F92" i="8" s="1"/>
  <c r="G92" i="8" a="1"/>
  <c r="G92" i="8" s="1"/>
  <c r="H92" i="8" a="1"/>
  <c r="H92" i="8" s="1"/>
  <c r="I92" i="8"/>
  <c r="F91" i="8" a="1"/>
  <c r="F91" i="8" s="1"/>
  <c r="G91" i="8" a="1"/>
  <c r="G91" i="8" s="1"/>
  <c r="H91" i="8" a="1"/>
  <c r="H91" i="8" s="1"/>
  <c r="I91" i="8"/>
  <c r="F90" i="8" a="1"/>
  <c r="F90" i="8" s="1"/>
  <c r="G90" i="8" a="1"/>
  <c r="G90" i="8" s="1"/>
  <c r="H90" i="8" a="1"/>
  <c r="H90" i="8" s="1"/>
  <c r="I90" i="8"/>
  <c r="F89" i="8" a="1"/>
  <c r="F89" i="8" s="1"/>
  <c r="G89" i="8" a="1"/>
  <c r="G89" i="8" s="1"/>
  <c r="H89" i="8" a="1"/>
  <c r="H89" i="8" s="1"/>
  <c r="I89" i="8"/>
  <c r="F88" i="8" a="1"/>
  <c r="F88" i="8" s="1"/>
  <c r="G88" i="8" a="1"/>
  <c r="G88" i="8" s="1"/>
  <c r="H88" i="8" a="1"/>
  <c r="H88" i="8" s="1"/>
  <c r="I88" i="8"/>
  <c r="F87" i="8" a="1"/>
  <c r="F87" i="8" s="1"/>
  <c r="G87" i="8" a="1"/>
  <c r="G87" i="8" s="1"/>
  <c r="H87" i="8" a="1"/>
  <c r="H87" i="8" s="1"/>
  <c r="I87" i="8"/>
  <c r="F86" i="8" a="1"/>
  <c r="F86" i="8" s="1"/>
  <c r="G86" i="8" a="1"/>
  <c r="G86" i="8" s="1"/>
  <c r="H86" i="8" a="1"/>
  <c r="H86" i="8" s="1"/>
  <c r="I86" i="8"/>
  <c r="F85" i="8" a="1"/>
  <c r="F85" i="8" s="1"/>
  <c r="G85" i="8" a="1"/>
  <c r="G85" i="8" s="1"/>
  <c r="H85" i="8" a="1"/>
  <c r="H85" i="8" s="1"/>
  <c r="I85" i="8"/>
  <c r="F84" i="8" a="1"/>
  <c r="F84" i="8" s="1"/>
  <c r="G84" i="8" a="1"/>
  <c r="G84" i="8" s="1"/>
  <c r="H84" i="8" a="1"/>
  <c r="H84" i="8" s="1"/>
  <c r="I84" i="8"/>
  <c r="F83" i="8" a="1"/>
  <c r="F83" i="8" s="1"/>
  <c r="G83" i="8" a="1"/>
  <c r="G83" i="8" s="1"/>
  <c r="H83" i="8" a="1"/>
  <c r="H83" i="8" s="1"/>
  <c r="I83" i="8"/>
  <c r="F82" i="8" a="1"/>
  <c r="F82" i="8" s="1"/>
  <c r="G82" i="8" a="1"/>
  <c r="G82" i="8" s="1"/>
  <c r="H82" i="8" a="1"/>
  <c r="H82" i="8" s="1"/>
  <c r="I82" i="8"/>
  <c r="F81" i="8" a="1"/>
  <c r="F81" i="8" s="1"/>
  <c r="G81" i="8" a="1"/>
  <c r="G81" i="8" s="1"/>
  <c r="H81" i="8" a="1"/>
  <c r="H81" i="8" s="1"/>
  <c r="I81" i="8"/>
  <c r="F80" i="8" a="1"/>
  <c r="F80" i="8" s="1"/>
  <c r="G80" i="8" a="1"/>
  <c r="G80" i="8" s="1"/>
  <c r="H80" i="8" a="1"/>
  <c r="H80" i="8" s="1"/>
  <c r="I80" i="8"/>
  <c r="F79" i="8" a="1"/>
  <c r="F79" i="8" s="1"/>
  <c r="G79" i="8" a="1"/>
  <c r="G79" i="8" s="1"/>
  <c r="H79" i="8" a="1"/>
  <c r="H79" i="8" s="1"/>
  <c r="I79" i="8"/>
  <c r="F78" i="8" a="1"/>
  <c r="F78" i="8" s="1"/>
  <c r="G78" i="8" a="1"/>
  <c r="G78" i="8" s="1"/>
  <c r="H78" i="8" a="1"/>
  <c r="H78" i="8" s="1"/>
  <c r="I78" i="8"/>
  <c r="F77" i="8" a="1"/>
  <c r="F77" i="8" s="1"/>
  <c r="G77" i="8" a="1"/>
  <c r="G77" i="8" s="1"/>
  <c r="H77" i="8" a="1"/>
  <c r="H77" i="8" s="1"/>
  <c r="I77" i="8"/>
  <c r="F76" i="8" a="1"/>
  <c r="F76" i="8" s="1"/>
  <c r="G76" i="8" a="1"/>
  <c r="G76" i="8" s="1"/>
  <c r="H76" i="8" a="1"/>
  <c r="H76" i="8" s="1"/>
  <c r="I76" i="8"/>
  <c r="F75" i="8" a="1"/>
  <c r="F75" i="8" s="1"/>
  <c r="G75" i="8" a="1"/>
  <c r="G75" i="8" s="1"/>
  <c r="H75" i="8" a="1"/>
  <c r="H75" i="8" s="1"/>
  <c r="I75" i="8"/>
  <c r="F74" i="8" a="1"/>
  <c r="F74" i="8" s="1"/>
  <c r="G74" i="8" a="1"/>
  <c r="G74" i="8" s="1"/>
  <c r="H74" i="8" a="1"/>
  <c r="H74" i="8" s="1"/>
  <c r="I74" i="8"/>
  <c r="F73" i="8" a="1"/>
  <c r="F73" i="8" s="1"/>
  <c r="G73" i="8" a="1"/>
  <c r="G73" i="8" s="1"/>
  <c r="H73" i="8" a="1"/>
  <c r="H73" i="8" s="1"/>
  <c r="I73" i="8"/>
  <c r="F72" i="8" a="1"/>
  <c r="F72" i="8" s="1"/>
  <c r="G72" i="8" a="1"/>
  <c r="G72" i="8" s="1"/>
  <c r="H72" i="8" a="1"/>
  <c r="H72" i="8" s="1"/>
  <c r="I72" i="8"/>
  <c r="F71" i="8" a="1"/>
  <c r="F71" i="8" s="1"/>
  <c r="G71" i="8" a="1"/>
  <c r="G71" i="8" s="1"/>
  <c r="H71" i="8" a="1"/>
  <c r="H71" i="8" s="1"/>
  <c r="I71" i="8"/>
  <c r="F70" i="8" a="1"/>
  <c r="F70" i="8" s="1"/>
  <c r="G70" i="8" a="1"/>
  <c r="G70" i="8" s="1"/>
  <c r="H70" i="8" a="1"/>
  <c r="H70" i="8" s="1"/>
  <c r="I70" i="8"/>
  <c r="F69" i="8" a="1"/>
  <c r="F69" i="8" s="1"/>
  <c r="G69" i="8" a="1"/>
  <c r="G69" i="8" s="1"/>
  <c r="H69" i="8" a="1"/>
  <c r="H69" i="8" s="1"/>
  <c r="I69" i="8"/>
  <c r="F68" i="8" a="1"/>
  <c r="F68" i="8" s="1"/>
  <c r="G68" i="8" a="1"/>
  <c r="G68" i="8" s="1"/>
  <c r="H68" i="8" a="1"/>
  <c r="H68" i="8" s="1"/>
  <c r="I68" i="8"/>
  <c r="F67" i="8" a="1"/>
  <c r="F67" i="8" s="1"/>
  <c r="G67" i="8" a="1"/>
  <c r="G67" i="8" s="1"/>
  <c r="H67" i="8" a="1"/>
  <c r="H67" i="8" s="1"/>
  <c r="I67" i="8"/>
  <c r="F66" i="8" a="1"/>
  <c r="F66" i="8" s="1"/>
  <c r="G66" i="8" a="1"/>
  <c r="G66" i="8" s="1"/>
  <c r="H66" i="8" a="1"/>
  <c r="H66" i="8" s="1"/>
  <c r="I66" i="8"/>
  <c r="F65" i="8" a="1"/>
  <c r="F65" i="8" s="1"/>
  <c r="G65" i="8" a="1"/>
  <c r="G65" i="8" s="1"/>
  <c r="H65" i="8" a="1"/>
  <c r="H65" i="8" s="1"/>
  <c r="I65" i="8"/>
  <c r="F64" i="8" a="1"/>
  <c r="F64" i="8" s="1"/>
  <c r="G64" i="8" a="1"/>
  <c r="G64" i="8" s="1"/>
  <c r="H64" i="8" a="1"/>
  <c r="H64" i="8" s="1"/>
  <c r="I64" i="8"/>
  <c r="F63" i="8" a="1"/>
  <c r="F63" i="8" s="1"/>
  <c r="G63" i="8" a="1"/>
  <c r="G63" i="8" s="1"/>
  <c r="H63" i="8" a="1"/>
  <c r="H63" i="8" s="1"/>
  <c r="I63" i="8"/>
  <c r="F62" i="8" a="1"/>
  <c r="F62" i="8" s="1"/>
  <c r="G62" i="8" a="1"/>
  <c r="G62" i="8" s="1"/>
  <c r="H62" i="8" a="1"/>
  <c r="H62" i="8" s="1"/>
  <c r="I62" i="8"/>
  <c r="F61" i="8" a="1"/>
  <c r="F61" i="8" s="1"/>
  <c r="G61" i="8" a="1"/>
  <c r="G61" i="8" s="1"/>
  <c r="H61" i="8" a="1"/>
  <c r="H61" i="8" s="1"/>
  <c r="I61" i="8"/>
  <c r="F60" i="8" a="1"/>
  <c r="F60" i="8" s="1"/>
  <c r="G60" i="8" a="1"/>
  <c r="G60" i="8" s="1"/>
  <c r="H60" i="8" a="1"/>
  <c r="H60" i="8" s="1"/>
  <c r="I60" i="8"/>
  <c r="F59" i="8" a="1"/>
  <c r="F59" i="8" s="1"/>
  <c r="G59" i="8" a="1"/>
  <c r="G59" i="8" s="1"/>
  <c r="H59" i="8" a="1"/>
  <c r="H59" i="8" s="1"/>
  <c r="I59" i="8"/>
  <c r="F58" i="8" a="1"/>
  <c r="F58" i="8" s="1"/>
  <c r="G58" i="8" a="1"/>
  <c r="G58" i="8" s="1"/>
  <c r="H58" i="8" a="1"/>
  <c r="H58" i="8" s="1"/>
  <c r="I58" i="8"/>
  <c r="F57" i="8" a="1"/>
  <c r="F57" i="8" s="1"/>
  <c r="G57" i="8" a="1"/>
  <c r="G57" i="8" s="1"/>
  <c r="H57" i="8" a="1"/>
  <c r="H57" i="8" s="1"/>
  <c r="I57" i="8"/>
  <c r="F56" i="8" a="1"/>
  <c r="F56" i="8" s="1"/>
  <c r="G56" i="8" a="1"/>
  <c r="G56" i="8" s="1"/>
  <c r="H56" i="8" a="1"/>
  <c r="H56" i="8" s="1"/>
  <c r="I56" i="8"/>
  <c r="F55" i="8" a="1"/>
  <c r="F55" i="8" s="1"/>
  <c r="G55" i="8" a="1"/>
  <c r="G55" i="8" s="1"/>
  <c r="H55" i="8" a="1"/>
  <c r="H55" i="8" s="1"/>
  <c r="I55" i="8"/>
  <c r="F54" i="8" a="1"/>
  <c r="F54" i="8" s="1"/>
  <c r="G54" i="8" a="1"/>
  <c r="G54" i="8" s="1"/>
  <c r="H54" i="8" a="1"/>
  <c r="H54" i="8" s="1"/>
  <c r="I54" i="8"/>
  <c r="F53" i="8" a="1"/>
  <c r="F53" i="8" s="1"/>
  <c r="G53" i="8" a="1"/>
  <c r="G53" i="8" s="1"/>
  <c r="H53" i="8" a="1"/>
  <c r="H53" i="8" s="1"/>
  <c r="I53" i="8"/>
  <c r="F52" i="8" a="1"/>
  <c r="F52" i="8" s="1"/>
  <c r="G52" i="8" a="1"/>
  <c r="G52" i="8" s="1"/>
  <c r="H52" i="8" a="1"/>
  <c r="H52" i="8" s="1"/>
  <c r="I52" i="8"/>
  <c r="F51" i="8" a="1"/>
  <c r="F51" i="8" s="1"/>
  <c r="G51" i="8" a="1"/>
  <c r="G51" i="8" s="1"/>
  <c r="H51" i="8" a="1"/>
  <c r="H51" i="8" s="1"/>
  <c r="I51" i="8"/>
  <c r="F50" i="8" a="1"/>
  <c r="F50" i="8" s="1"/>
  <c r="G50" i="8" a="1"/>
  <c r="G50" i="8" s="1"/>
  <c r="H50" i="8" a="1"/>
  <c r="H50" i="8" s="1"/>
  <c r="I50" i="8"/>
  <c r="F49" i="8" a="1"/>
  <c r="F49" i="8" s="1"/>
  <c r="G49" i="8" a="1"/>
  <c r="G49" i="8" s="1"/>
  <c r="H49" i="8" a="1"/>
  <c r="H49" i="8" s="1"/>
  <c r="I49" i="8"/>
  <c r="F3" i="8" a="1"/>
  <c r="F3" i="8" s="1"/>
  <c r="G3" i="8" a="1"/>
  <c r="G3" i="8" s="1"/>
  <c r="H3" i="8" a="1"/>
  <c r="H3" i="8" s="1"/>
  <c r="I3" i="8"/>
  <c r="F4" i="8" a="1"/>
  <c r="F4" i="8" s="1"/>
  <c r="G4" i="8" a="1"/>
  <c r="G4" i="8" s="1"/>
  <c r="H4" i="8" a="1"/>
  <c r="H4" i="8" s="1"/>
  <c r="I4" i="8"/>
  <c r="F5" i="8" a="1"/>
  <c r="F5" i="8" s="1"/>
  <c r="G5" i="8" a="1"/>
  <c r="G5" i="8" s="1"/>
  <c r="H5" i="8" a="1"/>
  <c r="H5" i="8" s="1"/>
  <c r="I5" i="8"/>
  <c r="F6" i="8" a="1"/>
  <c r="F6" i="8" s="1"/>
  <c r="G6" i="8" a="1"/>
  <c r="G6" i="8" s="1"/>
  <c r="H6" i="8" a="1"/>
  <c r="H6" i="8" s="1"/>
  <c r="I6" i="8"/>
  <c r="F7" i="8" a="1"/>
  <c r="F7" i="8" s="1"/>
  <c r="G7" i="8" a="1"/>
  <c r="G7" i="8" s="1"/>
  <c r="H7" i="8" a="1"/>
  <c r="H7" i="8" s="1"/>
  <c r="I7" i="8"/>
  <c r="F8" i="8" a="1"/>
  <c r="F8" i="8" s="1"/>
  <c r="G8" i="8" a="1"/>
  <c r="G8" i="8" s="1"/>
  <c r="H8" i="8" a="1"/>
  <c r="H8" i="8" s="1"/>
  <c r="I8" i="8"/>
  <c r="F9" i="8" a="1"/>
  <c r="F9" i="8" s="1"/>
  <c r="G9" i="8" a="1"/>
  <c r="G9" i="8" s="1"/>
  <c r="H9" i="8" a="1"/>
  <c r="H9" i="8" s="1"/>
  <c r="I9" i="8"/>
  <c r="F10" i="8" a="1"/>
  <c r="F10" i="8" s="1"/>
  <c r="G10" i="8" a="1"/>
  <c r="G10" i="8" s="1"/>
  <c r="H10" i="8" a="1"/>
  <c r="H10" i="8" s="1"/>
  <c r="I10" i="8"/>
  <c r="F11" i="8" a="1"/>
  <c r="F11" i="8" s="1"/>
  <c r="G11" i="8" a="1"/>
  <c r="G11" i="8" s="1"/>
  <c r="H11" i="8" a="1"/>
  <c r="H11" i="8" s="1"/>
  <c r="I11" i="8"/>
  <c r="F12" i="8" a="1"/>
  <c r="F12" i="8" s="1"/>
  <c r="G12" i="8" a="1"/>
  <c r="G12" i="8" s="1"/>
  <c r="H12" i="8" a="1"/>
  <c r="H12" i="8" s="1"/>
  <c r="I12" i="8"/>
  <c r="F13" i="8" a="1"/>
  <c r="F13" i="8" s="1"/>
  <c r="G13" i="8" a="1"/>
  <c r="G13" i="8" s="1"/>
  <c r="H13" i="8" a="1"/>
  <c r="H13" i="8" s="1"/>
  <c r="I13" i="8"/>
  <c r="F14" i="8" a="1"/>
  <c r="F14" i="8" s="1"/>
  <c r="G14" i="8" a="1"/>
  <c r="G14" i="8" s="1"/>
  <c r="H14" i="8" a="1"/>
  <c r="H14" i="8" s="1"/>
  <c r="I14" i="8"/>
  <c r="F15" i="8" a="1"/>
  <c r="F15" i="8" s="1"/>
  <c r="G15" i="8" a="1"/>
  <c r="G15" i="8" s="1"/>
  <c r="H15" i="8" a="1"/>
  <c r="H15" i="8" s="1"/>
  <c r="I15" i="8"/>
  <c r="F16" i="8" a="1"/>
  <c r="F16" i="8" s="1"/>
  <c r="G16" i="8" a="1"/>
  <c r="G16" i="8" s="1"/>
  <c r="H16" i="8" a="1"/>
  <c r="H16" i="8" s="1"/>
  <c r="I16" i="8"/>
  <c r="F17" i="8" a="1"/>
  <c r="F17" i="8" s="1"/>
  <c r="G17" i="8" a="1"/>
  <c r="G17" i="8" s="1"/>
  <c r="H17" i="8" a="1"/>
  <c r="H17" i="8" s="1"/>
  <c r="I17" i="8"/>
  <c r="F18" i="8" a="1"/>
  <c r="F18" i="8" s="1"/>
  <c r="G18" i="8" a="1"/>
  <c r="G18" i="8" s="1"/>
  <c r="H18" i="8" a="1"/>
  <c r="H18" i="8" s="1"/>
  <c r="I18" i="8"/>
  <c r="F19" i="8" a="1"/>
  <c r="F19" i="8" s="1"/>
  <c r="G19" i="8" a="1"/>
  <c r="G19" i="8" s="1"/>
  <c r="H19" i="8" a="1"/>
  <c r="H19" i="8" s="1"/>
  <c r="I19" i="8"/>
  <c r="F20" i="8" a="1"/>
  <c r="F20" i="8" s="1"/>
  <c r="G20" i="8" a="1"/>
  <c r="G20" i="8" s="1"/>
  <c r="H20" i="8" a="1"/>
  <c r="H20" i="8" s="1"/>
  <c r="I20" i="8"/>
  <c r="F21" i="8" a="1"/>
  <c r="F21" i="8" s="1"/>
  <c r="G21" i="8" a="1"/>
  <c r="G21" i="8" s="1"/>
  <c r="H21" i="8" a="1"/>
  <c r="H21" i="8" s="1"/>
  <c r="I21" i="8"/>
  <c r="F22" i="8" a="1"/>
  <c r="F22" i="8" s="1"/>
  <c r="G22" i="8" a="1"/>
  <c r="G22" i="8" s="1"/>
  <c r="H22" i="8" a="1"/>
  <c r="H22" i="8" s="1"/>
  <c r="I22" i="8"/>
  <c r="F23" i="8" a="1"/>
  <c r="F23" i="8" s="1"/>
  <c r="G23" i="8" a="1"/>
  <c r="G23" i="8" s="1"/>
  <c r="H23" i="8" a="1"/>
  <c r="H23" i="8" s="1"/>
  <c r="I23" i="8"/>
  <c r="F24" i="8" a="1"/>
  <c r="F24" i="8" s="1"/>
  <c r="G24" i="8" a="1"/>
  <c r="G24" i="8" s="1"/>
  <c r="H24" i="8" a="1"/>
  <c r="H24" i="8" s="1"/>
  <c r="I24" i="8"/>
  <c r="F25" i="8" a="1"/>
  <c r="F25" i="8" s="1"/>
  <c r="G25" i="8" a="1"/>
  <c r="G25" i="8" s="1"/>
  <c r="H25" i="8" a="1"/>
  <c r="H25" i="8" s="1"/>
  <c r="I25" i="8"/>
  <c r="F26" i="8" a="1"/>
  <c r="F26" i="8" s="1"/>
  <c r="G26" i="8" a="1"/>
  <c r="G26" i="8" s="1"/>
  <c r="H26" i="8" a="1"/>
  <c r="H26" i="8" s="1"/>
  <c r="I26" i="8"/>
  <c r="F27" i="8" a="1"/>
  <c r="F27" i="8" s="1"/>
  <c r="G27" i="8" a="1"/>
  <c r="G27" i="8" s="1"/>
  <c r="H27" i="8" a="1"/>
  <c r="H27" i="8" s="1"/>
  <c r="I27" i="8"/>
  <c r="F28" i="8" a="1"/>
  <c r="F28" i="8" s="1"/>
  <c r="G28" i="8" a="1"/>
  <c r="G28" i="8" s="1"/>
  <c r="H28" i="8" a="1"/>
  <c r="H28" i="8" s="1"/>
  <c r="I28" i="8"/>
  <c r="F29" i="8" a="1"/>
  <c r="F29" i="8" s="1"/>
  <c r="G29" i="8" a="1"/>
  <c r="G29" i="8" s="1"/>
  <c r="H29" i="8" a="1"/>
  <c r="H29" i="8" s="1"/>
  <c r="I29" i="8"/>
  <c r="F30" i="8" a="1"/>
  <c r="F30" i="8" s="1"/>
  <c r="G30" i="8" a="1"/>
  <c r="G30" i="8" s="1"/>
  <c r="H30" i="8" a="1"/>
  <c r="H30" i="8" s="1"/>
  <c r="I30" i="8"/>
  <c r="F31" i="8" a="1"/>
  <c r="F31" i="8" s="1"/>
  <c r="G31" i="8" a="1"/>
  <c r="G31" i="8" s="1"/>
  <c r="H31" i="8" a="1"/>
  <c r="H31" i="8" s="1"/>
  <c r="I31" i="8"/>
  <c r="F32" i="8" a="1"/>
  <c r="F32" i="8" s="1"/>
  <c r="G32" i="8" a="1"/>
  <c r="G32" i="8" s="1"/>
  <c r="H32" i="8" a="1"/>
  <c r="H32" i="8" s="1"/>
  <c r="I32" i="8"/>
  <c r="F33" i="8" a="1"/>
  <c r="F33" i="8" s="1"/>
  <c r="G33" i="8" a="1"/>
  <c r="G33" i="8" s="1"/>
  <c r="H33" i="8" a="1"/>
  <c r="H33" i="8" s="1"/>
  <c r="I33" i="8"/>
  <c r="F34" i="8" a="1"/>
  <c r="F34" i="8" s="1"/>
  <c r="G34" i="8" a="1"/>
  <c r="G34" i="8" s="1"/>
  <c r="H34" i="8" a="1"/>
  <c r="H34" i="8" s="1"/>
  <c r="I34" i="8"/>
  <c r="F35" i="8" a="1"/>
  <c r="F35" i="8" s="1"/>
  <c r="G35" i="8" a="1"/>
  <c r="G35" i="8" s="1"/>
  <c r="H35" i="8" a="1"/>
  <c r="H35" i="8" s="1"/>
  <c r="I35" i="8"/>
  <c r="F36" i="8" a="1"/>
  <c r="F36" i="8" s="1"/>
  <c r="G36" i="8" a="1"/>
  <c r="G36" i="8" s="1"/>
  <c r="H36" i="8" a="1"/>
  <c r="H36" i="8" s="1"/>
  <c r="I36" i="8"/>
  <c r="F37" i="8" a="1"/>
  <c r="F37" i="8" s="1"/>
  <c r="G37" i="8" a="1"/>
  <c r="G37" i="8" s="1"/>
  <c r="H37" i="8" a="1"/>
  <c r="H37" i="8" s="1"/>
  <c r="I37" i="8"/>
  <c r="F38" i="8" a="1"/>
  <c r="F38" i="8" s="1"/>
  <c r="G38" i="8" a="1"/>
  <c r="G38" i="8" s="1"/>
  <c r="H38" i="8" a="1"/>
  <c r="H38" i="8" s="1"/>
  <c r="I38" i="8"/>
  <c r="F39" i="8" a="1"/>
  <c r="F39" i="8" s="1"/>
  <c r="G39" i="8" a="1"/>
  <c r="G39" i="8" s="1"/>
  <c r="H39" i="8" a="1"/>
  <c r="H39" i="8" s="1"/>
  <c r="I39" i="8"/>
  <c r="F40" i="8" a="1"/>
  <c r="F40" i="8" s="1"/>
  <c r="G40" i="8" a="1"/>
  <c r="G40" i="8" s="1"/>
  <c r="H40" i="8" a="1"/>
  <c r="H40" i="8" s="1"/>
  <c r="I40" i="8"/>
  <c r="F41" i="8" a="1"/>
  <c r="F41" i="8" s="1"/>
  <c r="G41" i="8" a="1"/>
  <c r="G41" i="8" s="1"/>
  <c r="H41" i="8" a="1"/>
  <c r="H41" i="8" s="1"/>
  <c r="I41" i="8"/>
  <c r="F42" i="8" a="1"/>
  <c r="F42" i="8" s="1"/>
  <c r="G42" i="8" a="1"/>
  <c r="G42" i="8" s="1"/>
  <c r="H42" i="8" a="1"/>
  <c r="H42" i="8" s="1"/>
  <c r="I42" i="8"/>
  <c r="F43" i="8" a="1"/>
  <c r="F43" i="8" s="1"/>
  <c r="G43" i="8" a="1"/>
  <c r="G43" i="8" s="1"/>
  <c r="H43" i="8" a="1"/>
  <c r="H43" i="8" s="1"/>
  <c r="I43" i="8"/>
  <c r="F44" i="8" a="1"/>
  <c r="F44" i="8" s="1"/>
  <c r="G44" i="8" a="1"/>
  <c r="G44" i="8" s="1"/>
  <c r="H44" i="8" a="1"/>
  <c r="H44" i="8" s="1"/>
  <c r="I44" i="8"/>
  <c r="F45" i="8" a="1"/>
  <c r="F45" i="8" s="1"/>
  <c r="G45" i="8" a="1"/>
  <c r="G45" i="8" s="1"/>
  <c r="H45" i="8" a="1"/>
  <c r="H45" i="8" s="1"/>
  <c r="I45" i="8"/>
  <c r="F46" i="8" a="1"/>
  <c r="F46" i="8" s="1"/>
  <c r="G46" i="8" a="1"/>
  <c r="G46" i="8" s="1"/>
  <c r="H46" i="8" a="1"/>
  <c r="H46" i="8" s="1"/>
  <c r="I46" i="8"/>
  <c r="F47" i="8" a="1"/>
  <c r="F47" i="8" s="1"/>
  <c r="G47" i="8" a="1"/>
  <c r="G47" i="8" s="1"/>
  <c r="H47" i="8" a="1"/>
  <c r="H47" i="8" s="1"/>
  <c r="I47" i="8"/>
  <c r="F48" i="8" a="1"/>
  <c r="F48" i="8" s="1"/>
  <c r="G48" i="8" a="1"/>
  <c r="G48" i="8" s="1"/>
  <c r="H48" i="8" a="1"/>
  <c r="H48" i="8" s="1"/>
  <c r="I48" i="8"/>
  <c r="F3" i="12"/>
  <c r="F4" i="12"/>
  <c r="F5" i="12"/>
  <c r="F6" i="12"/>
  <c r="F7" i="12"/>
  <c r="F8" i="12"/>
  <c r="F9" i="12"/>
  <c r="F10" i="12"/>
  <c r="F11" i="12"/>
  <c r="F12" i="12"/>
  <c r="F13" i="12"/>
  <c r="F14" i="12"/>
  <c r="F15" i="12"/>
  <c r="D42" i="4"/>
  <c r="E42" i="4"/>
  <c r="F42" i="4"/>
  <c r="G42" i="4"/>
  <c r="H42" i="4"/>
  <c r="I42" i="4"/>
  <c r="J42" i="4"/>
  <c r="C42" i="4"/>
  <c r="M3" i="4" a="1"/>
  <c r="M3" i="4" s="1"/>
  <c r="M4" i="4" a="1"/>
  <c r="M4" i="4" s="1"/>
  <c r="M5" i="4" a="1"/>
  <c r="M5" i="4" s="1"/>
  <c r="M6" i="4" a="1"/>
  <c r="M6" i="4" s="1"/>
  <c r="M7" i="4" a="1"/>
  <c r="M7" i="4" s="1"/>
  <c r="M8" i="4" a="1"/>
  <c r="M8" i="4" s="1"/>
  <c r="M9" i="4" a="1"/>
  <c r="M9" i="4" s="1"/>
  <c r="M10" i="4" a="1"/>
  <c r="M10" i="4" s="1"/>
  <c r="C20" i="10"/>
  <c r="L19" i="10" s="1"/>
  <c r="I3" i="4"/>
  <c r="J3" i="4"/>
  <c r="I12" i="4"/>
  <c r="J12" i="4"/>
  <c r="I25" i="4"/>
  <c r="J25" i="4"/>
  <c r="I41" i="4"/>
  <c r="J41" i="4"/>
  <c r="I4" i="4"/>
  <c r="J4" i="4"/>
  <c r="I5" i="4"/>
  <c r="J5" i="4"/>
  <c r="I6" i="4"/>
  <c r="J6" i="4"/>
  <c r="I7" i="4"/>
  <c r="J7" i="4"/>
  <c r="I8" i="4"/>
  <c r="J8" i="4"/>
  <c r="I21" i="4"/>
  <c r="J21" i="4"/>
  <c r="I22" i="4"/>
  <c r="J22" i="4"/>
  <c r="I23" i="4"/>
  <c r="J23" i="4"/>
  <c r="I24" i="4"/>
  <c r="J24" i="4"/>
  <c r="I26" i="4"/>
  <c r="J26" i="4"/>
  <c r="I27" i="4"/>
  <c r="J27" i="4"/>
  <c r="I28" i="4"/>
  <c r="J28" i="4"/>
  <c r="I29" i="4"/>
  <c r="J29" i="4"/>
  <c r="I30" i="4"/>
  <c r="J30" i="4"/>
  <c r="I32" i="4"/>
  <c r="J32" i="4"/>
  <c r="I33" i="4"/>
  <c r="J33" i="4"/>
  <c r="I31" i="4"/>
  <c r="J31" i="4"/>
  <c r="I34" i="4"/>
  <c r="J34" i="4"/>
  <c r="I35" i="4"/>
  <c r="J35" i="4"/>
  <c r="I36" i="4"/>
  <c r="J36" i="4"/>
  <c r="I37" i="4"/>
  <c r="J37" i="4"/>
  <c r="I38" i="4"/>
  <c r="J38" i="4"/>
  <c r="I39" i="4"/>
  <c r="J39" i="4"/>
  <c r="I40" i="4"/>
  <c r="J40" i="4"/>
  <c r="D41" i="4"/>
  <c r="E41" i="4"/>
  <c r="F41" i="4"/>
  <c r="G41" i="4"/>
  <c r="H41" i="4"/>
  <c r="D25" i="4"/>
  <c r="E25" i="4"/>
  <c r="F25" i="4"/>
  <c r="G25" i="4"/>
  <c r="H25" i="4"/>
  <c r="C41" i="4"/>
  <c r="C25" i="4"/>
  <c r="D12" i="4"/>
  <c r="E12" i="4"/>
  <c r="F12" i="4"/>
  <c r="G12" i="4"/>
  <c r="H12" i="4"/>
  <c r="C12" i="4"/>
  <c r="C8" i="11"/>
  <c r="C9" i="11"/>
  <c r="C10" i="11"/>
  <c r="C11" i="11"/>
  <c r="C12" i="11"/>
  <c r="C13" i="11"/>
  <c r="D8" i="11"/>
  <c r="D9" i="11"/>
  <c r="D10" i="11"/>
  <c r="D12" i="11"/>
  <c r="D13" i="11"/>
  <c r="E8" i="11"/>
  <c r="E9" i="11"/>
  <c r="E10" i="11"/>
  <c r="E12" i="11"/>
  <c r="E13" i="11"/>
  <c r="F8" i="11"/>
  <c r="F9" i="11"/>
  <c r="F10" i="11"/>
  <c r="F12" i="11"/>
  <c r="F13" i="11"/>
  <c r="C7" i="11"/>
  <c r="O22" i="4" a="1"/>
  <c r="H40" i="4"/>
  <c r="G40" i="4"/>
  <c r="F40" i="4"/>
  <c r="E40" i="4"/>
  <c r="D40" i="4"/>
  <c r="C40" i="4"/>
  <c r="H39" i="4"/>
  <c r="G39" i="4"/>
  <c r="F39" i="4"/>
  <c r="E39" i="4"/>
  <c r="D39" i="4"/>
  <c r="C39" i="4"/>
  <c r="H38" i="4"/>
  <c r="G38" i="4"/>
  <c r="F38" i="4"/>
  <c r="E38" i="4"/>
  <c r="D38" i="4"/>
  <c r="C38" i="4"/>
  <c r="H37" i="4"/>
  <c r="G37" i="4"/>
  <c r="F37" i="4"/>
  <c r="E37" i="4"/>
  <c r="D37" i="4"/>
  <c r="C37" i="4"/>
  <c r="H36" i="4"/>
  <c r="G36" i="4"/>
  <c r="F36" i="4"/>
  <c r="E36" i="4"/>
  <c r="D36" i="4"/>
  <c r="C36" i="4"/>
  <c r="H35" i="4"/>
  <c r="G35" i="4"/>
  <c r="F35" i="4"/>
  <c r="E35" i="4"/>
  <c r="D35" i="4"/>
  <c r="C35" i="4"/>
  <c r="H34" i="4"/>
  <c r="G34" i="4"/>
  <c r="F34" i="4"/>
  <c r="E34" i="4"/>
  <c r="D34" i="4"/>
  <c r="C34" i="4"/>
  <c r="H31" i="4"/>
  <c r="G31" i="4"/>
  <c r="F31" i="4"/>
  <c r="E31" i="4"/>
  <c r="D31" i="4"/>
  <c r="C31" i="4"/>
  <c r="H33" i="4"/>
  <c r="G33" i="4"/>
  <c r="F33" i="4"/>
  <c r="E33" i="4"/>
  <c r="D33" i="4"/>
  <c r="C33" i="4"/>
  <c r="H32" i="4"/>
  <c r="G32" i="4"/>
  <c r="F32" i="4"/>
  <c r="E32" i="4"/>
  <c r="D32" i="4"/>
  <c r="C32" i="4"/>
  <c r="H30" i="4"/>
  <c r="G30" i="4"/>
  <c r="F30" i="4"/>
  <c r="E30" i="4"/>
  <c r="D30" i="4"/>
  <c r="C30" i="4"/>
  <c r="H29" i="4"/>
  <c r="G29" i="4"/>
  <c r="F29" i="4"/>
  <c r="E29" i="4"/>
  <c r="D29" i="4"/>
  <c r="C29" i="4"/>
  <c r="H28" i="4"/>
  <c r="G28" i="4"/>
  <c r="F28" i="4"/>
  <c r="E28" i="4"/>
  <c r="D28" i="4"/>
  <c r="C28" i="4"/>
  <c r="H27" i="4"/>
  <c r="G27" i="4"/>
  <c r="F27" i="4"/>
  <c r="E27" i="4"/>
  <c r="D27" i="4"/>
  <c r="C27" i="4"/>
  <c r="H26" i="4"/>
  <c r="G26" i="4"/>
  <c r="F26" i="4"/>
  <c r="E26" i="4"/>
  <c r="D26" i="4"/>
  <c r="C26" i="4"/>
  <c r="H24" i="4"/>
  <c r="G24" i="4"/>
  <c r="F24" i="4"/>
  <c r="E24" i="4"/>
  <c r="D24" i="4"/>
  <c r="C24" i="4"/>
  <c r="H23" i="4"/>
  <c r="G23" i="4"/>
  <c r="F23" i="4"/>
  <c r="E23" i="4"/>
  <c r="D23" i="4"/>
  <c r="C23" i="4"/>
  <c r="H22" i="4"/>
  <c r="G22" i="4"/>
  <c r="F22" i="4"/>
  <c r="E22" i="4"/>
  <c r="D22" i="4"/>
  <c r="C22" i="4"/>
  <c r="H21" i="4"/>
  <c r="G21" i="4"/>
  <c r="F21" i="4"/>
  <c r="E21" i="4"/>
  <c r="D21" i="4"/>
  <c r="C21" i="4"/>
  <c r="H8" i="4"/>
  <c r="G8" i="4"/>
  <c r="F8" i="4"/>
  <c r="E8" i="4"/>
  <c r="D8" i="4"/>
  <c r="C8" i="4"/>
  <c r="H7" i="4"/>
  <c r="G7" i="4"/>
  <c r="F7" i="4"/>
  <c r="E7" i="4"/>
  <c r="D7" i="4"/>
  <c r="C7" i="4"/>
  <c r="H6" i="4"/>
  <c r="G6" i="4"/>
  <c r="F6" i="4"/>
  <c r="E6" i="4"/>
  <c r="D6" i="4"/>
  <c r="C6" i="4"/>
  <c r="H5" i="4"/>
  <c r="G5" i="4"/>
  <c r="F5" i="4"/>
  <c r="E5" i="4"/>
  <c r="D5" i="4"/>
  <c r="C5" i="4"/>
  <c r="H4" i="4"/>
  <c r="G4" i="4"/>
  <c r="F4" i="4"/>
  <c r="E4" i="4"/>
  <c r="D4" i="4"/>
  <c r="C4" i="4"/>
  <c r="H3" i="4"/>
  <c r="G3" i="4"/>
  <c r="F3" i="4"/>
  <c r="E3" i="4"/>
  <c r="D3" i="4"/>
  <c r="C3" i="4"/>
  <c r="O22" i="4" l="1"/>
  <c r="C11" i="4"/>
  <c r="C9" i="4"/>
  <c r="C13" i="4"/>
  <c r="C14" i="4"/>
  <c r="C15" i="4"/>
  <c r="C10" i="4"/>
  <c r="D11" i="4"/>
  <c r="D15" i="4"/>
  <c r="D10" i="4"/>
  <c r="D14" i="4"/>
  <c r="D13" i="4"/>
  <c r="D9" i="4"/>
  <c r="E13" i="4"/>
  <c r="E9" i="4"/>
  <c r="E11" i="4"/>
  <c r="E10" i="4"/>
  <c r="E15" i="4"/>
  <c r="E14" i="4"/>
  <c r="F10" i="4"/>
  <c r="F14" i="4"/>
  <c r="F11" i="4"/>
  <c r="F15" i="4"/>
  <c r="F9" i="4"/>
  <c r="F13" i="4"/>
  <c r="G15" i="4"/>
  <c r="G14" i="4"/>
  <c r="G11" i="4"/>
  <c r="G13" i="4"/>
  <c r="G10" i="4"/>
  <c r="G9" i="4"/>
  <c r="H11" i="4"/>
  <c r="H13" i="4"/>
  <c r="H15" i="4"/>
  <c r="H9" i="4"/>
  <c r="H14" i="4"/>
  <c r="H10" i="4"/>
  <c r="I10" i="4"/>
  <c r="I14" i="4"/>
  <c r="I13" i="4"/>
  <c r="I9" i="4"/>
  <c r="I11" i="4"/>
  <c r="I15" i="4"/>
  <c r="J9" i="4"/>
  <c r="J10" i="4"/>
  <c r="J11" i="4"/>
  <c r="J15" i="4"/>
  <c r="J14" i="4"/>
  <c r="J13" i="4"/>
  <c r="C27" i="10"/>
  <c r="L26" i="10" s="1"/>
  <c r="C13" i="10"/>
  <c r="E11" i="11"/>
  <c r="F11" i="11"/>
  <c r="D11" i="11"/>
  <c r="D7" i="11"/>
  <c r="E7" i="11"/>
  <c r="F7" i="11"/>
  <c r="C6" i="10" l="1"/>
  <c r="L5" i="10" s="1"/>
  <c r="L12" i="10"/>
  <c r="D12" i="10" a="1"/>
  <c r="D12" i="10" s="1"/>
  <c r="D26" i="10" a="1"/>
  <c r="D26" i="10" s="1"/>
  <c r="D13" i="10" l="1" a="1"/>
  <c r="D27" i="10" a="1"/>
  <c r="E26" i="10"/>
  <c r="D19" i="10" a="1"/>
  <c r="D19" i="10" s="1"/>
  <c r="D5" i="10" a="1"/>
  <c r="D5" i="10" s="1"/>
  <c r="E12" i="10"/>
  <c r="E13" i="10" s="1" a="1"/>
  <c r="D13" i="10" l="1"/>
  <c r="D27" i="10"/>
  <c r="F26" i="10"/>
  <c r="E27" i="10" a="1"/>
  <c r="E13" i="10"/>
  <c r="D20" i="10" a="1"/>
  <c r="E19" i="10"/>
  <c r="D6" i="10" a="1"/>
  <c r="E5" i="10"/>
  <c r="F12" i="10"/>
  <c r="F13" i="10" s="1" a="1"/>
  <c r="E17" i="10" a="1"/>
  <c r="D17" i="10" a="1"/>
  <c r="D31" i="10" a="1"/>
  <c r="D31" i="10" l="1"/>
  <c r="E17" i="10"/>
  <c r="D17" i="10"/>
  <c r="E27" i="10"/>
  <c r="F27" i="10" a="1"/>
  <c r="G26" i="10"/>
  <c r="D6" i="10"/>
  <c r="D20" i="10"/>
  <c r="E20" i="10" a="1"/>
  <c r="F19" i="10"/>
  <c r="E6" i="10" a="1"/>
  <c r="F5" i="10"/>
  <c r="F13" i="10"/>
  <c r="G12" i="10"/>
  <c r="G13" i="10" s="1" a="1"/>
  <c r="D24" i="10" a="1"/>
  <c r="E31" i="10" a="1"/>
  <c r="D10" i="10" a="1"/>
  <c r="F17" i="10" a="1"/>
  <c r="F17" i="10" l="1"/>
  <c r="D24" i="10"/>
  <c r="D10" i="10"/>
  <c r="E31" i="10"/>
  <c r="F27" i="10"/>
  <c r="G27" i="10" a="1"/>
  <c r="H26" i="10"/>
  <c r="E20" i="10"/>
  <c r="E6" i="10"/>
  <c r="F20" i="10" a="1"/>
  <c r="G19" i="10"/>
  <c r="F6" i="10" a="1"/>
  <c r="G5" i="10"/>
  <c r="G13" i="10"/>
  <c r="H12" i="10"/>
  <c r="H13" i="10" s="1" a="1"/>
  <c r="E24" i="10" a="1"/>
  <c r="E10" i="10" a="1"/>
  <c r="G17" i="10" a="1"/>
  <c r="F31" i="10" a="1"/>
  <c r="G17" i="10" l="1"/>
  <c r="E10" i="10"/>
  <c r="E24" i="10"/>
  <c r="F31" i="10"/>
  <c r="G27" i="10"/>
  <c r="H27" i="10" a="1"/>
  <c r="H27" i="10" s="1"/>
  <c r="I26" i="10"/>
  <c r="F6" i="10"/>
  <c r="F20" i="10"/>
  <c r="G20" i="10" a="1"/>
  <c r="H19" i="10"/>
  <c r="G6" i="10" a="1"/>
  <c r="H5" i="10"/>
  <c r="H13" i="10"/>
  <c r="I12" i="10"/>
  <c r="I13" i="10" s="1" a="1"/>
  <c r="G31" i="10" a="1"/>
  <c r="H31" i="10" a="1"/>
  <c r="F24" i="10" a="1"/>
  <c r="F10" i="10" a="1"/>
  <c r="H17" i="10" a="1"/>
  <c r="H17" i="10" l="1"/>
  <c r="F24" i="10"/>
  <c r="F10" i="10"/>
  <c r="H31" i="10"/>
  <c r="G31" i="10"/>
  <c r="I27" i="10" a="1"/>
  <c r="J26" i="10"/>
  <c r="G20" i="10"/>
  <c r="G6" i="10"/>
  <c r="I13" i="10"/>
  <c r="H20" i="10" a="1"/>
  <c r="H20" i="10" s="1"/>
  <c r="I19" i="10"/>
  <c r="H6" i="10" a="1"/>
  <c r="H6" i="10" s="1"/>
  <c r="I5" i="10"/>
  <c r="J12" i="10"/>
  <c r="I17" i="10" a="1"/>
  <c r="H10" i="10" a="1"/>
  <c r="G10" i="10" a="1"/>
  <c r="G24" i="10" a="1"/>
  <c r="H24" i="10" a="1"/>
  <c r="I17" i="10" l="1"/>
  <c r="H10" i="10"/>
  <c r="H24" i="10"/>
  <c r="G10" i="10"/>
  <c r="G24" i="10"/>
  <c r="J27" i="10" a="1"/>
  <c r="J27" i="10" s="1"/>
  <c r="P28" i="10"/>
  <c r="P29" i="10"/>
  <c r="P27" i="10"/>
  <c r="J13" i="10" a="1"/>
  <c r="J13" i="10" s="1"/>
  <c r="P14" i="10"/>
  <c r="P15" i="10"/>
  <c r="P13" i="10"/>
  <c r="I27" i="10"/>
  <c r="I20" i="10" a="1"/>
  <c r="J19" i="10"/>
  <c r="I6" i="10" a="1"/>
  <c r="J5" i="10"/>
  <c r="J31" i="10" a="1"/>
  <c r="J31" i="10" l="1"/>
  <c r="M29" i="10"/>
  <c r="M14" i="10"/>
  <c r="M15" i="10"/>
  <c r="J20" i="10" a="1"/>
  <c r="J20" i="10" s="1"/>
  <c r="P22" i="10"/>
  <c r="P20" i="10"/>
  <c r="P21" i="10"/>
  <c r="J6" i="10" a="1"/>
  <c r="J6" i="10" s="1"/>
  <c r="P7" i="10"/>
  <c r="P8" i="10"/>
  <c r="P6" i="10"/>
  <c r="M28" i="10"/>
  <c r="I20" i="10"/>
  <c r="I6" i="10"/>
  <c r="I10" i="10" a="1"/>
  <c r="I31" i="10" a="1"/>
  <c r="I24" i="10" a="1"/>
  <c r="J17" i="10" a="1"/>
  <c r="J10" i="10" a="1"/>
  <c r="J24" i="10" a="1"/>
  <c r="J17" i="10" l="1"/>
  <c r="M13" i="10" s="1"/>
  <c r="I10" i="10"/>
  <c r="I24" i="10"/>
  <c r="I31" i="10"/>
  <c r="M27" i="10" s="1"/>
  <c r="J10" i="10"/>
  <c r="J24" i="10"/>
  <c r="M30" i="10"/>
  <c r="M16" i="10"/>
  <c r="M21" i="10"/>
  <c r="M22" i="10"/>
  <c r="M7" i="10"/>
  <c r="M8" i="10"/>
  <c r="M20" i="10" l="1"/>
  <c r="M6" i="10"/>
  <c r="M31" i="10"/>
  <c r="M17" i="10"/>
  <c r="M23" i="10"/>
  <c r="M9" i="10"/>
  <c r="M24" i="10" l="1"/>
  <c r="M10" i="1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<sst xmlns="http://schemas.openxmlformats.org/spreadsheetml/2006/main" count="979" uniqueCount="138">
  <si>
    <t>Mitarbeiter</t>
  </si>
  <si>
    <t>Lehrmann, Marcel</t>
  </si>
  <si>
    <t>Bremen</t>
  </si>
  <si>
    <t>Plottek, André</t>
  </si>
  <si>
    <t>Schweitzer, Sven</t>
  </si>
  <si>
    <t>Hamburg</t>
  </si>
  <si>
    <t>Weber, Joelle</t>
  </si>
  <si>
    <t>Datum</t>
  </si>
  <si>
    <t>Art</t>
  </si>
  <si>
    <t>Jahr</t>
  </si>
  <si>
    <t>Einstellungen</t>
  </si>
  <si>
    <t>Aktiv</t>
  </si>
  <si>
    <t>Eris, Gürkan</t>
  </si>
  <si>
    <t>Plath, Julian</t>
  </si>
  <si>
    <t>Wagner, Helene</t>
  </si>
  <si>
    <t>Aktive Mitarbeiter</t>
  </si>
  <si>
    <t>Neu</t>
  </si>
  <si>
    <t>Bestand</t>
  </si>
  <si>
    <t>Alt-KB</t>
  </si>
  <si>
    <t>Name</t>
  </si>
  <si>
    <t>Bundesland</t>
  </si>
  <si>
    <t>2025</t>
  </si>
  <si>
    <t>2026</t>
  </si>
  <si>
    <t>2027</t>
  </si>
  <si>
    <t>2028</t>
  </si>
  <si>
    <t>2029</t>
  </si>
  <si>
    <t>2030</t>
  </si>
  <si>
    <t>Kurz</t>
  </si>
  <si>
    <t>Neujahr</t>
  </si>
  <si>
    <t>*</t>
  </si>
  <si>
    <t>Alle Bundesländer</t>
  </si>
  <si>
    <t>Karfreitag</t>
  </si>
  <si>
    <t>Baden-Württemberg</t>
  </si>
  <si>
    <t>BW</t>
  </si>
  <si>
    <t>Ostersonntag</t>
  </si>
  <si>
    <t>Bayern</t>
  </si>
  <si>
    <t>BY</t>
  </si>
  <si>
    <t>Ostermontag</t>
  </si>
  <si>
    <t>Berlin</t>
  </si>
  <si>
    <t>BE</t>
  </si>
  <si>
    <t>Maifeiertag</t>
  </si>
  <si>
    <t>Brandenburg</t>
  </si>
  <si>
    <t>BB</t>
  </si>
  <si>
    <t>Himmelfahrt</t>
  </si>
  <si>
    <t>HB</t>
  </si>
  <si>
    <t>Pfingstmontag</t>
  </si>
  <si>
    <t>HH</t>
  </si>
  <si>
    <t>Tag der Einheit</t>
  </si>
  <si>
    <t>Hessen</t>
  </si>
  <si>
    <t>HE</t>
  </si>
  <si>
    <t>1. Weihnachtstag</t>
  </si>
  <si>
    <t>Mecklenburg-Vorpommern</t>
  </si>
  <si>
    <t>MV</t>
  </si>
  <si>
    <t>2. Weihnachtstag</t>
  </si>
  <si>
    <t>Niedersachsen</t>
  </si>
  <si>
    <t>NI</t>
  </si>
  <si>
    <t>Heilige 3 Könige</t>
  </si>
  <si>
    <t>Nordrhein-Westfalen</t>
  </si>
  <si>
    <t>NW</t>
  </si>
  <si>
    <t>Rheinland-Pfalz</t>
  </si>
  <si>
    <t>RP</t>
  </si>
  <si>
    <t>ST</t>
  </si>
  <si>
    <t>Saarland</t>
  </si>
  <si>
    <t>SL</t>
  </si>
  <si>
    <t>Internationaler Frauentag</t>
  </si>
  <si>
    <t>Sachsen</t>
  </si>
  <si>
    <t>SN</t>
  </si>
  <si>
    <t>Sachsen-Anhalt</t>
  </si>
  <si>
    <t>Fronleichnam</t>
  </si>
  <si>
    <t>Schleswig-Holstein</t>
  </si>
  <si>
    <t>SH</t>
  </si>
  <si>
    <t>Thüringen</t>
  </si>
  <si>
    <t>TH</t>
  </si>
  <si>
    <t>Augsburger Friedensfest </t>
  </si>
  <si>
    <t>Mariä Himmelfahrt</t>
  </si>
  <si>
    <t>Weltkindertag</t>
  </si>
  <si>
    <t>Reformationstag</t>
  </si>
  <si>
    <t>Allerheiligen</t>
  </si>
  <si>
    <t>Buß- und Bettag</t>
  </si>
  <si>
    <t>Terminarten</t>
  </si>
  <si>
    <t>Termine</t>
  </si>
  <si>
    <t>Terminart</t>
  </si>
  <si>
    <t>Agent</t>
  </si>
  <si>
    <t>Display</t>
  </si>
  <si>
    <t>Display Id</t>
  </si>
  <si>
    <t>IE</t>
  </si>
  <si>
    <t>AP</t>
  </si>
  <si>
    <t>ZZ</t>
  </si>
  <si>
    <t>KW</t>
  </si>
  <si>
    <t>SearchTerm</t>
  </si>
  <si>
    <t>Eigentermin</t>
  </si>
  <si>
    <t>Urlaub</t>
  </si>
  <si>
    <t>Feiertag</t>
  </si>
  <si>
    <t>Arbeitstage</t>
  </si>
  <si>
    <t>Urlaubstage</t>
  </si>
  <si>
    <t>Feiertage</t>
  </si>
  <si>
    <t>Terminübersicht</t>
  </si>
  <si>
    <t>Alt-KB (Agent)</t>
  </si>
  <si>
    <t>Neu (Agent)</t>
  </si>
  <si>
    <t>Developer Sheet</t>
  </si>
  <si>
    <t>Enums Prefix</t>
  </si>
  <si>
    <t>Variables Prefix</t>
  </si>
  <si>
    <t>Public</t>
  </si>
  <si>
    <t>Paste via Transpose</t>
  </si>
  <si>
    <t>Variable type
empty=String</t>
  </si>
  <si>
    <t>Headers</t>
  </si>
  <si>
    <t>Types</t>
  </si>
  <si>
    <t>VBA Names</t>
  </si>
  <si>
    <t>Class Enums</t>
  </si>
  <si>
    <t>Var-Declarations</t>
  </si>
  <si>
    <t>Assignments</t>
  </si>
  <si>
    <t>xtrm</t>
  </si>
  <si>
    <t>2031</t>
  </si>
  <si>
    <t>2032</t>
  </si>
  <si>
    <t>Legende:</t>
  </si>
  <si>
    <t>Mobilfunk</t>
  </si>
  <si>
    <t>Daten</t>
  </si>
  <si>
    <t>Telefonie</t>
  </si>
  <si>
    <t>Angebote</t>
  </si>
  <si>
    <t>Kunde</t>
  </si>
  <si>
    <t>Angebotarten</t>
  </si>
  <si>
    <t>Testkunde 1</t>
  </si>
  <si>
    <t>Meier</t>
  </si>
  <si>
    <t>Kunze</t>
  </si>
  <si>
    <t>Testkunde 2</t>
  </si>
  <si>
    <t>Testkunde 3</t>
  </si>
  <si>
    <t>Testkunde 4</t>
  </si>
  <si>
    <t>Testkunde 5</t>
  </si>
  <si>
    <t>Festnetz</t>
  </si>
  <si>
    <t>IP-Telefonie</t>
  </si>
  <si>
    <t>Office365</t>
  </si>
  <si>
    <t>Apr</t>
  </si>
  <si>
    <t>Mai</t>
  </si>
  <si>
    <t>ID</t>
  </si>
  <si>
    <t>Anzahl</t>
  </si>
  <si>
    <t>Überblick</t>
  </si>
  <si>
    <t>Summe</t>
  </si>
  <si>
    <t>Termin-Quote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</si>
</sst>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d\ dd/mm/"/>
    <numFmt numFmtId="165" formatCode="0;\-0;"/>
    <numFmt numFmtId="166" formatCode="dd/mm/yyyy\ ddd"/>
    <numFmt numFmtId="167" formatCode="0;0;"/>
  </numFmts>
  <fonts count="19" x14ac:knownFonts="1">
    <font>
      <sz val="11"/>
      <color theme="1"/>
      <name val="Aptos Display"/>
      <family val="2"/>
    </font>
    <font>
      <u/>
      <sz val="11"/>
      <color theme="10"/>
      <name val="Aptos Narrow"/>
      <family val="2"/>
      <scheme val="minor"/>
    </font>
    <font>
      <b/>
      <sz val="18"/>
      <color theme="5"/>
      <name val="Aptos Narrow"/>
      <family val="2"/>
      <scheme val="minor"/>
    </font>
    <font>
      <sz val="11"/>
      <name val="Aptos Display"/>
      <family val="2"/>
    </font>
    <font>
      <b/>
      <sz val="18"/>
      <color theme="4"/>
      <name val="Aptos Display"/>
      <family val="2"/>
    </font>
    <font>
      <sz val="11"/>
      <color theme="0"/>
      <name val="Aptos Display"/>
      <family val="2"/>
    </font>
    <font>
      <b/>
      <sz val="11"/>
      <name val="Aptos Narrow"/>
      <family val="2"/>
      <scheme val="minor"/>
    </font>
    <font>
      <b/>
      <sz val="18"/>
      <name val="Aptos Display"/>
      <family val="2"/>
    </font>
    <font>
      <sz val="12"/>
      <name val="Aptos Display"/>
      <family val="2"/>
    </font>
    <font>
      <sz val="18"/>
      <name val="Aptos Display"/>
      <family val="2"/>
    </font>
    <font>
      <sz val="20"/>
      <name val="Aptos Display"/>
      <family val="2"/>
    </font>
    <font>
      <b/>
      <sz val="11"/>
      <name val="Aptos Display"/>
      <family val="2"/>
    </font>
    <font>
      <b/>
      <sz val="16"/>
      <color theme="0"/>
      <name val="Aptos Display"/>
      <family val="2"/>
    </font>
    <font>
      <sz val="11"/>
      <color theme="8"/>
      <name val="Aptos Display"/>
      <family val="2"/>
    </font>
    <font>
      <sz val="10"/>
      <color theme="1"/>
      <name val="Cascadia Mono"/>
      <family val="3"/>
    </font>
    <font>
      <sz val="8"/>
      <name val="Aptos Display"/>
      <family val="2"/>
    </font>
    <font>
      <b/>
      <sz val="12"/>
      <name val="Aptos Display"/>
      <family val="2"/>
    </font>
    <font>
      <i/>
      <sz val="11"/>
      <name val="Aptos Display"/>
      <family val="2"/>
    </font>
    <font>
      <b/>
      <sz val="18"/>
      <color theme="1"/>
      <name val="Aptos Display"/>
      <family val="2"/>
    </font>
  </fonts>
  <fills count="12">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bgColor indexed="64"/>
      </patternFill>
    </fill>
    <fill>
      <patternFill patternType="solid">
        <fgColor theme="8" tint="0.79998168889431442"/>
        <bgColor indexed="64"/>
      </patternFill>
    </fill>
    <fill>
      <patternFill patternType="solid">
        <fgColor rgb="FFFFFFB9"/>
        <bgColor indexed="64"/>
      </patternFill>
    </fill>
    <fill>
      <patternFill patternType="solid">
        <fgColor theme="0"/>
        <bgColor indexed="64"/>
      </patternFill>
    </fill>
    <fill>
      <patternFill patternType="solid">
        <fgColor theme="9" tint="0.59999389629810485"/>
        <bgColor indexed="64"/>
      </patternFill>
    </fill>
    <fill>
      <patternFill patternType="solid">
        <fgColor rgb="FFFFF1F4"/>
        <bgColor indexed="64"/>
      </patternFill>
    </fill>
  </fills>
  <borders count="12">
    <border>
      <left/>
      <right/>
      <top/>
      <bottom/>
      <diagonal/>
    </border>
    <border>
      <left style="dashed">
        <color theme="2" tint="-0.24994659260841701"/>
      </left>
      <right style="dashed">
        <color theme="2" tint="-0.24994659260841701"/>
      </right>
      <top style="dashed">
        <color theme="2" tint="-0.24994659260841701"/>
      </top>
      <bottom style="dashed">
        <color theme="2" tint="-0.24994659260841701"/>
      </bottom>
      <diagonal/>
    </border>
    <border>
      <left style="thin">
        <color indexed="64"/>
      </left>
      <right style="thin">
        <color indexed="64"/>
      </right>
      <top style="thin">
        <color indexed="64"/>
      </top>
      <bottom style="thin">
        <color indexed="64"/>
      </bottom>
      <diagonal/>
    </border>
    <border>
      <left style="dotted">
        <color auto="1"/>
      </left>
      <right style="dotted">
        <color theme="8"/>
      </right>
      <top style="dotted">
        <color auto="1"/>
      </top>
      <bottom/>
      <diagonal/>
    </border>
    <border>
      <left style="dotted">
        <color theme="8"/>
      </left>
      <right style="dotted">
        <color auto="1"/>
      </right>
      <top style="dotted">
        <color auto="1"/>
      </top>
      <bottom/>
      <diagonal/>
    </border>
    <border>
      <left style="dashed">
        <color auto="1"/>
      </left>
      <right style="dashed">
        <color auto="1"/>
      </right>
      <top style="dashed">
        <color auto="1"/>
      </top>
      <bottom style="dashed">
        <color auto="1"/>
      </bottom>
      <diagonal/>
    </border>
    <border>
      <left style="medium">
        <color auto="1"/>
      </left>
      <right/>
      <top/>
      <bottom/>
      <diagonal/>
    </border>
    <border>
      <left/>
      <right style="medium">
        <color auto="1"/>
      </right>
      <top/>
      <bottom/>
      <diagonal/>
    </border>
    <border>
      <left/>
      <right style="dashed">
        <color theme="2" tint="-0.24994659260841701"/>
      </right>
      <top style="dashed">
        <color theme="2" tint="-0.24994659260841701"/>
      </top>
      <bottom style="dashed">
        <color theme="2" tint="-0.24994659260841701"/>
      </bottom>
      <diagonal/>
    </border>
    <border>
      <left style="dashed">
        <color theme="2" tint="-0.24994659260841701"/>
      </left>
      <right style="dashed">
        <color theme="2" tint="-0.24994659260841701"/>
      </right>
      <top style="dashed">
        <color theme="2" tint="-0.24994659260841701"/>
      </top>
      <bottom/>
      <diagonal/>
    </border>
    <border>
      <left style="dashed">
        <color theme="2" tint="-0.24994659260841701"/>
      </left>
      <right style="dashed">
        <color theme="2" tint="-0.24994659260841701"/>
      </right>
      <top/>
      <bottom/>
      <diagonal/>
    </border>
    <border>
      <left style="dashed">
        <color theme="2" tint="-0.24994659260841701"/>
      </left>
      <right style="dashed">
        <color theme="2" tint="-0.24994659260841701"/>
      </right>
      <top/>
      <bottom style="dashed">
        <color theme="2" tint="-0.24994659260841701"/>
      </bottom>
      <diagonal/>
    </border>
  </borders>
  <cellStyleXfs count="2">
    <xf numFmtId="0" fontId="0" fillId="0" borderId="0"/>
    <xf numFmtId="0" fontId="1" fillId="0" borderId="0" applyNumberFormat="0" applyFill="0" applyBorder="0" applyAlignment="0" applyProtection="0"/>
  </cellStyleXfs>
  <cellXfs count="83">
    <xf numFmtId="0" fontId="0" fillId="0" borderId="0" xfId="0"/>
    <xf numFmtId="0" fontId="0" fillId="0" borderId="0" xfId="0" applyAlignment="1">
      <alignment horizontal="left" vertical="top"/>
    </xf>
    <xf numFmtId="0" fontId="0" fillId="3" borderId="0" xfId="0" applyFill="1" applyAlignment="1">
      <alignment horizontal="left" vertical="center"/>
    </xf>
    <xf numFmtId="0" fontId="2" fillId="3" borderId="0" xfId="0" applyFont="1" applyFill="1" applyAlignment="1">
      <alignment horizontal="lef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0" fillId="0" borderId="0" xfId="0" applyAlignment="1">
      <alignment horizontal="left"/>
    </xf>
    <xf numFmtId="0" fontId="0" fillId="0" borderId="0" xfId="0" applyAlignment="1">
      <alignment horizontal="center" vertical="top"/>
      <extLst>
        <ext xmlns:xfpb="http://schemas.microsoft.com/office/spreadsheetml/2022/featurepropertybag" uri="{C7286773-470A-42A8-94C5-96B5CB345126}">
          <xfpb:xfComplement i="0"/>
        </ext>
      </extLst>
    </xf>
    <xf numFmtId="14" fontId="0" fillId="0" borderId="0" xfId="0" applyNumberFormat="1"/>
    <xf numFmtId="14" fontId="0" fillId="0" borderId="0" xfId="0" applyNumberFormat="1" applyAlignment="1">
      <alignment horizontal="left"/>
    </xf>
    <xf numFmtId="0" fontId="0" fillId="3" borderId="0" xfId="0" applyFill="1"/>
    <xf numFmtId="14" fontId="0" fillId="3" borderId="0" xfId="0" applyNumberFormat="1" applyFill="1"/>
    <xf numFmtId="0" fontId="6" fillId="0" borderId="0" xfId="0" applyFont="1" applyAlignment="1">
      <alignment horizontal="right" vertical="top"/>
    </xf>
    <xf numFmtId="0" fontId="3"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horizontal="center" vertical="center"/>
    </xf>
    <xf numFmtId="0" fontId="7" fillId="5" borderId="0" xfId="0" applyFont="1" applyFill="1" applyAlignment="1">
      <alignment horizontal="left" vertical="center"/>
    </xf>
    <xf numFmtId="0" fontId="9" fillId="5" borderId="0" xfId="0" applyFont="1" applyFill="1" applyAlignment="1">
      <alignment horizontal="left" vertical="center"/>
    </xf>
    <xf numFmtId="0" fontId="3" fillId="0" borderId="0" xfId="0" applyFont="1" applyAlignment="1">
      <alignment horizontal="right" vertical="top"/>
    </xf>
    <xf numFmtId="0" fontId="3" fillId="0" borderId="0" xfId="0" applyFont="1" applyAlignment="1">
      <alignment horizontal="right" vertical="center"/>
    </xf>
    <xf numFmtId="0" fontId="8" fillId="5" borderId="1" xfId="0" applyFont="1" applyFill="1" applyBorder="1" applyAlignment="1">
      <alignment horizontal="center" vertical="center" wrapText="1"/>
    </xf>
    <xf numFmtId="164" fontId="8" fillId="5" borderId="1" xfId="0"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5" borderId="1" xfId="0" applyFont="1" applyFill="1" applyBorder="1" applyAlignment="1">
      <alignment horizontal="center" vertical="center"/>
    </xf>
    <xf numFmtId="0" fontId="3" fillId="0" borderId="1" xfId="0" applyFont="1" applyBorder="1" applyAlignment="1">
      <alignment horizontal="center" vertical="top"/>
    </xf>
    <xf numFmtId="0" fontId="3" fillId="0" borderId="1" xfId="0" applyFont="1" applyBorder="1" applyAlignment="1">
      <alignment vertical="center"/>
    </xf>
    <xf numFmtId="165" fontId="3" fillId="0" borderId="1" xfId="0" applyNumberFormat="1" applyFont="1" applyBorder="1" applyAlignment="1">
      <alignment horizontal="right" vertical="center"/>
    </xf>
    <xf numFmtId="0" fontId="12" fillId="6" borderId="0" xfId="0" applyFont="1" applyFill="1" applyAlignment="1">
      <alignment horizontal="left" vertical="top"/>
    </xf>
    <xf numFmtId="0" fontId="5" fillId="6" borderId="0" xfId="0" applyFont="1" applyFill="1" applyAlignment="1">
      <alignment horizontal="left" vertical="top"/>
    </xf>
    <xf numFmtId="0" fontId="5" fillId="6" borderId="0" xfId="0" applyFont="1" applyFill="1" applyAlignment="1">
      <alignment horizontal="left" vertical="center"/>
    </xf>
    <xf numFmtId="0" fontId="0" fillId="7" borderId="0" xfId="0" applyFill="1" applyAlignment="1">
      <alignment horizontal="left" vertical="top"/>
    </xf>
    <xf numFmtId="0" fontId="0" fillId="8" borderId="2" xfId="0" applyFill="1" applyBorder="1" applyAlignment="1">
      <alignment horizontal="left" vertical="top"/>
    </xf>
    <xf numFmtId="0" fontId="13" fillId="7" borderId="3" xfId="0" applyFont="1" applyFill="1" applyBorder="1" applyAlignment="1">
      <alignment horizontal="left" vertical="top" wrapText="1"/>
    </xf>
    <xf numFmtId="0" fontId="13" fillId="7" borderId="4" xfId="0" applyFont="1" applyFill="1" applyBorder="1" applyAlignment="1">
      <alignment horizontal="left" vertical="top" wrapText="1"/>
    </xf>
    <xf numFmtId="0" fontId="0" fillId="7" borderId="0" xfId="0" applyFill="1" applyAlignment="1">
      <alignment horizontal="right" vertical="center" wrapText="1"/>
    </xf>
    <xf numFmtId="0" fontId="0" fillId="7" borderId="0" xfId="0" applyFill="1" applyAlignment="1">
      <alignment horizontal="right" vertical="center"/>
    </xf>
    <xf numFmtId="0" fontId="0" fillId="7" borderId="0" xfId="0" applyFill="1" applyAlignment="1">
      <alignment horizontal="left" vertical="top" wrapText="1"/>
    </xf>
    <xf numFmtId="0" fontId="14" fillId="7" borderId="0" xfId="0" applyFont="1" applyFill="1"/>
    <xf numFmtId="0" fontId="14" fillId="9" borderId="0" xfId="0" applyFont="1" applyFill="1" applyAlignment="1">
      <alignment horizontal="left" vertical="top"/>
    </xf>
    <xf numFmtId="166" fontId="0" fillId="0" borderId="0" xfId="0" applyNumberFormat="1" applyAlignment="1">
      <alignment horizontal="left"/>
    </xf>
    <xf numFmtId="0" fontId="11" fillId="10" borderId="0" xfId="0" applyFont="1" applyFill="1" applyAlignment="1">
      <alignment vertical="top"/>
    </xf>
    <xf numFmtId="0" fontId="11" fillId="5" borderId="0" xfId="0" applyFont="1" applyFill="1" applyAlignment="1">
      <alignment vertical="center" wrapText="1"/>
    </xf>
    <xf numFmtId="0" fontId="3" fillId="5" borderId="0" xfId="0" applyFont="1" applyFill="1" applyAlignment="1">
      <alignment horizontal="right" vertical="center" wrapText="1"/>
    </xf>
    <xf numFmtId="0" fontId="3" fillId="5" borderId="0" xfId="0" applyFont="1" applyFill="1" applyAlignment="1">
      <alignment horizontal="right" vertical="center"/>
    </xf>
    <xf numFmtId="0" fontId="17" fillId="0" borderId="0" xfId="0" applyFont="1" applyAlignment="1">
      <alignment horizontal="right" vertical="top" indent="1"/>
    </xf>
    <xf numFmtId="0" fontId="16" fillId="4" borderId="0" xfId="0" applyFont="1" applyFill="1" applyAlignment="1">
      <alignment horizontal="left" vertical="top"/>
    </xf>
    <xf numFmtId="0" fontId="4" fillId="2" borderId="0" xfId="0" applyFont="1" applyFill="1" applyAlignment="1">
      <alignment horizontal="left" vertical="top"/>
    </xf>
    <xf numFmtId="0" fontId="4" fillId="2" borderId="0" xfId="0" applyFont="1" applyFill="1" applyAlignment="1">
      <alignment horizontal="left" vertical="center"/>
    </xf>
    <xf numFmtId="1" fontId="0" fillId="0" borderId="0" xfId="0" applyNumberFormat="1" applyAlignment="1">
      <alignment horizontal="center"/>
    </xf>
    <xf numFmtId="14" fontId="0" fillId="0" borderId="0" xfId="0" applyNumberFormat="1" applyAlignment="1">
      <alignment horizontal="center"/>
    </xf>
    <xf numFmtId="14" fontId="5" fillId="5" borderId="0" xfId="0" applyNumberFormat="1" applyFont="1" applyFill="1" applyAlignment="1">
      <alignment horizontal="left" vertical="top"/>
    </xf>
    <xf numFmtId="0" fontId="3" fillId="0" borderId="5" xfId="0" applyFont="1" applyBorder="1" applyAlignment="1">
      <alignment vertical="center"/>
    </xf>
    <xf numFmtId="14" fontId="0" fillId="0" borderId="0" xfId="0" applyNumberFormat="1" applyAlignment="1">
      <alignment horizontal="left" vertical="top"/>
    </xf>
    <xf numFmtId="0" fontId="18" fillId="4" borderId="0" xfId="0" applyFont="1" applyFill="1" applyAlignment="1">
      <alignment horizontal="left" vertical="center"/>
    </xf>
    <xf numFmtId="0" fontId="3" fillId="5" borderId="0" xfId="0" applyFont="1" applyFill="1" applyAlignment="1">
      <alignment horizontal="center" vertical="center" wrapText="1"/>
    </xf>
    <xf numFmtId="167" fontId="3" fillId="0" borderId="5" xfId="0" applyNumberFormat="1" applyFont="1" applyBorder="1" applyAlignment="1">
      <alignment horizontal="center" vertical="center"/>
    </xf>
    <xf numFmtId="0" fontId="0" fillId="0" borderId="0" xfId="0" applyAlignment="1">
      <alignment horizontal="left" vertical="top" wrapText="1"/>
    </xf>
    <xf numFmtId="166" fontId="0" fillId="0" borderId="0" xfId="0" applyNumberFormat="1" applyAlignment="1">
      <alignment horizontal="left" vertical="top"/>
    </xf>
    <xf numFmtId="49" fontId="0" fillId="0" borderId="0" xfId="0" applyNumberFormat="1" applyAlignment="1">
      <alignment horizontal="left" vertical="top"/>
    </xf>
    <xf numFmtId="0" fontId="0" fillId="2" borderId="0" xfId="0" applyFill="1" applyAlignment="1">
      <alignment horizontal="left" vertical="top"/>
    </xf>
    <xf numFmtId="1" fontId="0" fillId="2" borderId="6" xfId="0" applyNumberFormat="1" applyFill="1" applyBorder="1" applyAlignment="1">
      <alignment horizontal="left" vertical="top"/>
    </xf>
    <xf numFmtId="49" fontId="0" fillId="0" borderId="7" xfId="0" applyNumberFormat="1" applyBorder="1" applyAlignment="1">
      <alignment horizontal="left" vertical="top"/>
    </xf>
    <xf numFmtId="0" fontId="16" fillId="5" borderId="1" xfId="0" applyFont="1" applyFill="1" applyBorder="1" applyAlignment="1">
      <alignment horizontal="center" vertical="top" wrapText="1"/>
    </xf>
    <xf numFmtId="0" fontId="16" fillId="5" borderId="1" xfId="0" applyFont="1" applyFill="1" applyBorder="1" applyAlignment="1">
      <alignment horizontal="center" vertical="top"/>
    </xf>
    <xf numFmtId="0" fontId="3" fillId="0" borderId="8" xfId="0" applyFont="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top" wrapText="1"/>
    </xf>
    <xf numFmtId="0" fontId="3" fillId="5" borderId="10" xfId="0" applyFont="1" applyFill="1" applyBorder="1" applyAlignment="1">
      <alignment horizontal="center" vertical="top" wrapText="1"/>
    </xf>
    <xf numFmtId="0" fontId="10" fillId="5" borderId="11" xfId="0" applyFont="1" applyFill="1" applyBorder="1" applyAlignment="1">
      <alignment horizontal="center" vertical="center" wrapText="1"/>
    </xf>
    <xf numFmtId="0" fontId="3" fillId="5" borderId="9" xfId="0" applyFont="1" applyFill="1" applyBorder="1" applyAlignment="1">
      <alignment horizontal="center" vertical="top"/>
    </xf>
    <xf numFmtId="0" fontId="3" fillId="5" borderId="10" xfId="0" applyFont="1" applyFill="1" applyBorder="1" applyAlignment="1">
      <alignment horizontal="center" vertical="top"/>
    </xf>
    <xf numFmtId="0" fontId="9" fillId="5" borderId="11" xfId="0" applyFont="1" applyFill="1" applyBorder="1" applyAlignment="1">
      <alignment horizontal="center" vertical="center"/>
    </xf>
    <xf numFmtId="0" fontId="3" fillId="5" borderId="11" xfId="0" applyFont="1" applyFill="1" applyBorder="1" applyAlignment="1">
      <alignment horizontal="center" vertical="center"/>
    </xf>
    <xf numFmtId="0" fontId="3" fillId="11" borderId="1" xfId="0" applyFont="1" applyFill="1" applyBorder="1" applyAlignment="1">
      <alignment horizontal="center" vertical="center"/>
    </xf>
    <xf numFmtId="0" fontId="0" fillId="0" borderId="0" xfId="0" pivotButton="1"/>
    <xf numFmtId="0" fontId="0" fillId="0" borderId="0" xfId="0" applyAlignment="1">
      <alignment horizontal="left" indent="1"/>
    </xf>
    <xf numFmtId="0" fontId="0" fillId="4" borderId="0" xfId="0" applyFill="1" applyAlignment="1">
      <alignment horizontal="left" vertical="top"/>
    </xf>
    <xf numFmtId="3" fontId="0" fillId="0" borderId="0" xfId="0" applyNumberFormat="1"/>
    <xf numFmtId="0" fontId="0" fillId="2" borderId="0" xfId="0" applyNumberFormat="1" applyFill="1" applyAlignment="1">
      <alignment horizontal="left" vertical="top"/>
    </xf>
    <xf numFmtId="2" fontId="3" fillId="0" borderId="1" xfId="0" applyNumberFormat="1" applyFont="1" applyFill="1" applyBorder="1" applyAlignment="1">
      <alignment horizontal="right" vertical="center"/>
    </xf>
  </cellXfs>
  <cellStyles count="2">
    <cellStyle name="Hyperlink" xfId="1" xr:uid="{E1645E8C-A227-4511-A9BA-0C0744AD4643}"/>
    <cellStyle name="Standard" xfId="0" builtinId="0"/>
  </cellStyles>
  <dxfs count="118">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8" tint="0.79998168889431442"/>
        </patternFill>
      </fill>
    </dxf>
    <dxf>
      <font>
        <sz val="10"/>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alignment horizontal="left" vertical="top" textRotation="0" wrapText="0" indent="0" justifyLastLine="0" shrinkToFit="0" readingOrder="0"/>
    </dxf>
    <dxf>
      <numFmt numFmtId="0" formatCode="General"/>
      <fill>
        <patternFill patternType="solid">
          <fgColor indexed="64"/>
          <bgColor theme="7" tint="0.79998168889431442"/>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dd/mm/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1" formatCode="0"/>
      <fill>
        <patternFill patternType="solid">
          <fgColor indexed="64"/>
          <bgColor theme="6" tint="0.79998168889431442"/>
        </patternFill>
      </fill>
      <alignment horizontal="left" vertical="top" textRotation="0" wrapText="0" indent="0" justifyLastLine="0" shrinkToFit="0" readingOrder="0"/>
      <border diagonalUp="0" diagonalDown="0">
        <left style="medium">
          <color auto="1"/>
        </left>
        <right/>
        <top/>
        <bottom/>
        <vertical/>
        <horizontal/>
      </border>
    </dxf>
    <dxf>
      <numFmt numFmtId="30" formatCode="@"/>
      <alignment horizontal="left" vertical="top" textRotation="0" wrapText="0" indent="0" justifyLastLine="0" shrinkToFit="0" readingOrder="0"/>
      <border diagonalUp="0" diagonalDown="0">
        <left/>
        <right style="medium">
          <color auto="1"/>
        </right>
        <top/>
        <bottom/>
        <vertical/>
        <horizontal/>
      </border>
    </dxf>
    <dxf>
      <numFmt numFmtId="30" formatCode="@"/>
      <alignment horizontal="left" vertical="top" textRotation="0" wrapText="0" indent="0" justifyLastLine="0" shrinkToFit="0" readingOrder="0"/>
    </dxf>
    <dxf>
      <numFmt numFmtId="30" formatCode="@"/>
      <alignment horizontal="left" vertical="top" textRotation="0" wrapText="0" indent="0" justifyLastLine="0" shrinkToFit="0" readingOrder="0"/>
    </dxf>
    <dxf>
      <numFmt numFmtId="166" formatCode="dd/mm/yyyy\ ddd"/>
      <alignment horizontal="left" vertical="top" textRotation="0" wrapText="0" indent="0" justifyLastLine="0" shrinkToFit="0" readingOrder="0"/>
    </dxf>
    <dxf>
      <border diagonalUp="0" diagonalDown="0">
        <left/>
        <right style="thin">
          <color auto="1"/>
        </right>
        <top/>
        <bottom/>
      </border>
    </dxf>
    <dxf>
      <alignment horizontal="left" vertical="top" textRotation="0" wrapText="0" indent="0" justifyLastLine="0" shrinkToFit="0" readingOrder="0"/>
    </dxf>
    <dxf>
      <alignment horizontal="left"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19" formatCode="dd/mm/yyyy"/>
      <alignment horizontal="center"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alignment horizontal="left" vertical="bottom" textRotation="0" wrapText="0" indent="0" justifyLastLine="0" shrinkToFit="0" readingOrder="0"/>
    </dxf>
    <dxf>
      <numFmt numFmtId="166" formatCode="dd/mm/yyyy\ ddd"/>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horizontal="center" vertical="top" textRotation="0" wrapText="0" indent="0" justifyLastLine="0" shrinkToFit="0" readingOrder="0"/>
      <extLst>
        <ext xmlns:xfpb="http://schemas.microsoft.com/office/spreadsheetml/2022/featurepropertybag" uri="{0417FA29-78FA-4A13-93AC-8FF0FAFDF519}">
          <xfpb:DXFComplement i="0"/>
        </ext>
      </extLst>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color auto="1"/>
      </font>
      <fill>
        <patternFill patternType="solid">
          <fgColor theme="6"/>
          <bgColor theme="6" tint="0.79998168889431442"/>
        </patternFill>
      </fill>
    </dxf>
    <dxf>
      <font>
        <color theme="1"/>
      </font>
      <border>
        <left style="thin">
          <color theme="6"/>
        </left>
        <right style="thin">
          <color theme="6"/>
        </right>
        <top style="thin">
          <color theme="6"/>
        </top>
        <bottom style="thin">
          <color theme="6"/>
        </bottom>
      </border>
    </dxf>
  </dxfs>
  <tableStyles count="1" defaultTableStyle="TableStyleMedium2" defaultPivotStyle="PivotStyleLight16">
    <tableStyle name="TalkServ" pivot="0" count="9" xr9:uid="{3A8A8CA3-106A-496D-AE8B-B3EB6AD054B7}">
      <tableStyleElement type="wholeTable" dxfId="117"/>
      <tableStyleElement type="headerRow" dxfId="116"/>
      <tableStyleElement type="totalRow" dxfId="115"/>
      <tableStyleElement type="firstColumn" dxfId="114"/>
      <tableStyleElement type="lastColumn" dxfId="113"/>
      <tableStyleElement type="firstRowStripe" dxfId="112"/>
      <tableStyleElement type="secondRowStripe" dxfId="111"/>
      <tableStyleElement type="firstColumnStripe" dxfId="110"/>
      <tableStyleElement type="secondColumnStripe" dxfId="109"/>
    </tableStyle>
  </tableStyles>
  <colors>
    <mruColors>
      <color rgb="FFFFF1F4"/>
      <color rgb="FFFFCCCC"/>
      <color rgb="FFFF8181"/>
      <color rgb="FF33CCCC"/>
      <color rgb="FFFFFF99"/>
      <color rgb="FFFFFFE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22/11/relationships/FeaturePropertyBag" Target="featurePropertyBag/featurePropertyBag.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absolute">
    <xdr:from>
      <xdr:col>0</xdr:col>
      <xdr:colOff>59784</xdr:colOff>
      <xdr:row>27</xdr:row>
      <xdr:rowOff>47219</xdr:rowOff>
    </xdr:from>
    <xdr:to>
      <xdr:col>0</xdr:col>
      <xdr:colOff>383784</xdr:colOff>
      <xdr:row>28</xdr:row>
      <xdr:rowOff>171194</xdr:rowOff>
    </xdr:to>
    <xdr:grpSp>
      <xdr:nvGrpSpPr>
        <xdr:cNvPr id="2" name="Gruppieren 1">
          <a:extLst>
            <a:ext uri="{FF2B5EF4-FFF2-40B4-BE49-F238E27FC236}">
              <a16:creationId xmlns:a16="http://schemas.microsoft.com/office/drawing/2014/main" id="{0C22BB18-813A-4BE5-AFC4-16AEC6DE357B}"/>
            </a:ext>
          </a:extLst>
        </xdr:cNvPr>
        <xdr:cNvGrpSpPr>
          <a:grpSpLocks noChangeAspect="1"/>
        </xdr:cNvGrpSpPr>
      </xdr:nvGrpSpPr>
      <xdr:grpSpPr>
        <a:xfrm>
          <a:off x="59784" y="5571719"/>
          <a:ext cx="324000" cy="324000"/>
          <a:chOff x="10720387" y="3348037"/>
          <a:chExt cx="324000" cy="324000"/>
        </a:xfrm>
      </xdr:grpSpPr>
      <xdr:sp macro="[0]!AKTION_Terminübersicht_Down" textlink="">
        <xdr:nvSpPr>
          <xdr:cNvPr id="3" name="Rechteck: abgerundete Ecken 2">
            <a:extLst>
              <a:ext uri="{FF2B5EF4-FFF2-40B4-BE49-F238E27FC236}">
                <a16:creationId xmlns:a16="http://schemas.microsoft.com/office/drawing/2014/main" id="{0E47DF62-338E-026D-EA5A-DEBBEB8B2ABC}"/>
              </a:ext>
            </a:extLst>
          </xdr:cNvPr>
          <xdr:cNvSpPr/>
        </xdr:nvSpPr>
        <xdr:spPr>
          <a:xfrm>
            <a:off x="10720387" y="334803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Down">
        <xdr:nvPicPr>
          <xdr:cNvPr id="4" name="Grafik 3">
            <a:extLst>
              <a:ext uri="{FF2B5EF4-FFF2-40B4-BE49-F238E27FC236}">
                <a16:creationId xmlns:a16="http://schemas.microsoft.com/office/drawing/2014/main" id="{CC8392C7-5094-BB57-ABAE-559EA6E7A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20387" y="3348037"/>
            <a:ext cx="324000" cy="324000"/>
          </a:xfrm>
          <a:prstGeom prst="rect">
            <a:avLst/>
          </a:prstGeom>
        </xdr:spPr>
      </xdr:pic>
    </xdr:grpSp>
    <xdr:clientData fPrintsWithSheet="0"/>
  </xdr:twoCellAnchor>
  <xdr:twoCellAnchor editAs="absolute">
    <xdr:from>
      <xdr:col>0</xdr:col>
      <xdr:colOff>59784</xdr:colOff>
      <xdr:row>6</xdr:row>
      <xdr:rowOff>25333</xdr:rowOff>
    </xdr:from>
    <xdr:to>
      <xdr:col>0</xdr:col>
      <xdr:colOff>383784</xdr:colOff>
      <xdr:row>7</xdr:row>
      <xdr:rowOff>150727</xdr:rowOff>
    </xdr:to>
    <xdr:grpSp>
      <xdr:nvGrpSpPr>
        <xdr:cNvPr id="5" name="Gruppieren 4">
          <a:extLst>
            <a:ext uri="{FF2B5EF4-FFF2-40B4-BE49-F238E27FC236}">
              <a16:creationId xmlns:a16="http://schemas.microsoft.com/office/drawing/2014/main" id="{7D009BBB-F616-45E7-A8CE-3178842BF9BD}"/>
            </a:ext>
          </a:extLst>
        </xdr:cNvPr>
        <xdr:cNvGrpSpPr>
          <a:grpSpLocks noChangeAspect="1"/>
        </xdr:cNvGrpSpPr>
      </xdr:nvGrpSpPr>
      <xdr:grpSpPr>
        <a:xfrm>
          <a:off x="59784" y="1349308"/>
          <a:ext cx="324000" cy="325419"/>
          <a:chOff x="290512" y="1195387"/>
          <a:chExt cx="324000" cy="324000"/>
        </a:xfrm>
      </xdr:grpSpPr>
      <xdr:sp macro="[0]!AKTION_Terminübersicht_Up" textlink="">
        <xdr:nvSpPr>
          <xdr:cNvPr id="6" name="Rechteck: abgerundete Ecken 5">
            <a:extLst>
              <a:ext uri="{FF2B5EF4-FFF2-40B4-BE49-F238E27FC236}">
                <a16:creationId xmlns:a16="http://schemas.microsoft.com/office/drawing/2014/main" id="{5C3DF673-EDD8-116C-0745-9ABAE39CF23D}"/>
              </a:ext>
            </a:extLst>
          </xdr:cNvPr>
          <xdr:cNvSpPr/>
        </xdr:nvSpPr>
        <xdr:spPr>
          <a:xfrm>
            <a:off x="290512" y="119538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Up">
        <xdr:nvPicPr>
          <xdr:cNvPr id="7" name="Grafik 6">
            <a:extLst>
              <a:ext uri="{FF2B5EF4-FFF2-40B4-BE49-F238E27FC236}">
                <a16:creationId xmlns:a16="http://schemas.microsoft.com/office/drawing/2014/main" id="{0B7B3ECB-4C4B-5803-E265-8C24D9C7DD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V="1">
            <a:off x="290512" y="1195387"/>
            <a:ext cx="324000" cy="324000"/>
          </a:xfrm>
          <a:prstGeom prst="rect">
            <a:avLst/>
          </a:prstGeom>
        </xdr:spPr>
      </xdr:pic>
    </xdr:grpSp>
    <xdr:clientData fPrintsWithSheet="0"/>
  </xdr:twoCellAnchor>
  <xdr:twoCellAnchor editAs="absolute">
    <xdr:from>
      <xdr:col>0</xdr:col>
      <xdr:colOff>59784</xdr:colOff>
      <xdr:row>20</xdr:row>
      <xdr:rowOff>9525</xdr:rowOff>
    </xdr:from>
    <xdr:to>
      <xdr:col>0</xdr:col>
      <xdr:colOff>383784</xdr:colOff>
      <xdr:row>21</xdr:row>
      <xdr:rowOff>133500</xdr:rowOff>
    </xdr:to>
    <xdr:grpSp>
      <xdr:nvGrpSpPr>
        <xdr:cNvPr id="11" name="Gruppieren 10">
          <a:extLst>
            <a:ext uri="{FF2B5EF4-FFF2-40B4-BE49-F238E27FC236}">
              <a16:creationId xmlns:a16="http://schemas.microsoft.com/office/drawing/2014/main" id="{2DBC2F4A-7D55-2501-406E-95EACD491B58}"/>
            </a:ext>
          </a:extLst>
        </xdr:cNvPr>
        <xdr:cNvGrpSpPr>
          <a:grpSpLocks noChangeAspect="1"/>
        </xdr:cNvGrpSpPr>
      </xdr:nvGrpSpPr>
      <xdr:grpSpPr>
        <a:xfrm>
          <a:off x="59784" y="4133850"/>
          <a:ext cx="324000" cy="324000"/>
          <a:chOff x="161925" y="3048000"/>
          <a:chExt cx="324000" cy="324000"/>
        </a:xfrm>
      </xdr:grpSpPr>
      <xdr:sp macro="[0]!AKTION_Terminübersicht_Current" textlink="">
        <xdr:nvSpPr>
          <xdr:cNvPr id="9" name="Rechteck: abgerundete Ecken 8">
            <a:extLst>
              <a:ext uri="{FF2B5EF4-FFF2-40B4-BE49-F238E27FC236}">
                <a16:creationId xmlns:a16="http://schemas.microsoft.com/office/drawing/2014/main" id="{3FDEADD1-55E1-7057-55D3-FB0F481771B1}"/>
              </a:ext>
            </a:extLst>
          </xdr:cNvPr>
          <xdr:cNvSpPr/>
        </xdr:nvSpPr>
        <xdr:spPr>
          <a:xfrm>
            <a:off x="161925" y="3048000"/>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Current">
        <xdr:nvPicPr>
          <xdr:cNvPr id="10" name="Grafik 9" descr="Nach rechts zeigender Finger, Handrücken mit einfarbiger Füllung">
            <a:extLst>
              <a:ext uri="{FF2B5EF4-FFF2-40B4-BE49-F238E27FC236}">
                <a16:creationId xmlns:a16="http://schemas.microsoft.com/office/drawing/2014/main" id="{31A7FE2C-7878-F9F6-3932-08D70B4D4B1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9925" y="3066000"/>
            <a:ext cx="288000" cy="288000"/>
          </a:xfrm>
          <a:prstGeom prst="rect">
            <a:avLst/>
          </a:prstGeom>
        </xdr:spPr>
      </xdr:pic>
    </xdr:grpSp>
    <xdr:clientData fPrintsWithSheet="0"/>
  </xdr:twoCellAnchor>
</xdr:wsDr>
</file>

<file path=xl/drawings/drawing2.xml><?xml version="1.0" encoding="utf-8"?>
<xdr:wsDr xmlns:xdr="http://schemas.openxmlformats.org/drawingml/2006/spreadsheetDrawing" xmlns:a="http://schemas.openxmlformats.org/drawingml/2006/main">
  <xdr:absoluteAnchor>
    <xdr:pos x="3876675" y="0"/>
    <xdr:ext cx="2428875" cy="1228724"/>
    <mc:AlternateContent xmlns:mc="http://schemas.openxmlformats.org/markup-compatibility/2006" xmlns:sle15="http://schemas.microsoft.com/office/drawing/2012/slicer">
      <mc:Choice Requires="sle15">
        <xdr:graphicFrame macro="">
          <xdr:nvGraphicFramePr>
            <xdr:cNvPr id="2" name="Mitarbeiter">
              <a:extLst>
                <a:ext uri="{FF2B5EF4-FFF2-40B4-BE49-F238E27FC236}">
                  <a16:creationId xmlns:a16="http://schemas.microsoft.com/office/drawing/2014/main" id="{639670E6-A6B4-2047-B2DE-67AA3867C4F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itarbeiter"/>
            </a:graphicData>
          </a:graphic>
        </xdr:graphicFrame>
      </mc:Choice>
      <mc:Fallback xmlns="">
        <xdr:sp macro="" textlink="">
          <xdr:nvSpPr>
            <xdr:cNvPr id="0" name=""/>
            <xdr:cNvSpPr>
              <a:spLocks noTextEdit="1"/>
            </xdr:cNvSpPr>
          </xdr:nvSpPr>
          <xdr:spPr>
            <a:xfrm>
              <a:off x="3876191" y="0"/>
              <a:ext cx="2431619"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absoluteAnchor>
  <xdr:absoluteAnchor>
    <xdr:pos x="2124075" y="0"/>
    <xdr:ext cx="1647826" cy="1228724"/>
    <mc:AlternateContent xmlns:mc="http://schemas.openxmlformats.org/markup-compatibility/2006" xmlns:sle15="http://schemas.microsoft.com/office/drawing/2012/slicer">
      <mc:Choice Requires="sle15">
        <xdr:graphicFrame macro="">
          <xdr:nvGraphicFramePr>
            <xdr:cNvPr id="4" name="Jahr">
              <a:extLst>
                <a:ext uri="{FF2B5EF4-FFF2-40B4-BE49-F238E27FC236}">
                  <a16:creationId xmlns:a16="http://schemas.microsoft.com/office/drawing/2014/main" id="{5491B81D-6DD0-FF7C-74D3-FC76219B529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mlns="">
        <xdr:sp macro="" textlink="">
          <xdr:nvSpPr>
            <xdr:cNvPr id="0" name=""/>
            <xdr:cNvSpPr>
              <a:spLocks noTextEdit="1"/>
            </xdr:cNvSpPr>
          </xdr:nvSpPr>
          <xdr:spPr>
            <a:xfrm>
              <a:off x="2124075" y="0"/>
              <a:ext cx="1647826"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absoluteAnchor>
  <xdr:absoluteAnchor>
    <xdr:pos x="6419851" y="0"/>
    <xdr:ext cx="2476500" cy="1228724"/>
    <mc:AlternateContent xmlns:mc="http://schemas.openxmlformats.org/markup-compatibility/2006" xmlns:sle15="http://schemas.microsoft.com/office/drawing/2012/slicer">
      <mc:Choice Requires="sle15">
        <xdr:graphicFrame macro="">
          <xdr:nvGraphicFramePr>
            <xdr:cNvPr id="5" name="Terminart">
              <a:extLst>
                <a:ext uri="{FF2B5EF4-FFF2-40B4-BE49-F238E27FC236}">
                  <a16:creationId xmlns:a16="http://schemas.microsoft.com/office/drawing/2014/main" id="{2634E1A9-598E-FE77-A257-7FF7EA2353BC}"/>
                </a:ext>
              </a:extLst>
            </xdr:cNvPr>
            <xdr:cNvGraphicFramePr/>
          </xdr:nvGraphicFramePr>
          <xdr:xfrm>
            <a:off x="0" y="0"/>
            <a:ext cx="0" cy="0"/>
          </xdr:xfrm>
          <a:graphic>
            <a:graphicData uri="http://schemas.microsoft.com/office/drawing/2010/slicer">
              <sle:slicer xmlns:sle="http://schemas.microsoft.com/office/drawing/2010/slicer" name="Terminart"/>
            </a:graphicData>
          </a:graphic>
        </xdr:graphicFrame>
      </mc:Choice>
      <mc:Fallback xmlns="">
        <xdr:sp macro="" textlink="">
          <xdr:nvSpPr>
            <xdr:cNvPr id="0" name=""/>
            <xdr:cNvSpPr>
              <a:spLocks noTextEdit="1"/>
            </xdr:cNvSpPr>
          </xdr:nvSpPr>
          <xdr:spPr>
            <a:xfrm>
              <a:off x="6422111" y="0"/>
              <a:ext cx="2476823"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absoluteAnchor>
  <xdr:twoCellAnchor>
    <xdr:from>
      <xdr:col>1</xdr:col>
      <xdr:colOff>57149</xdr:colOff>
      <xdr:row>0</xdr:row>
      <xdr:rowOff>518789</xdr:rowOff>
    </xdr:from>
    <xdr:to>
      <xdr:col>1</xdr:col>
      <xdr:colOff>1065149</xdr:colOff>
      <xdr:row>0</xdr:row>
      <xdr:rowOff>808162</xdr:rowOff>
    </xdr:to>
    <xdr:grpSp>
      <xdr:nvGrpSpPr>
        <xdr:cNvPr id="11" name="Gruppieren 10">
          <a:extLst>
            <a:ext uri="{FF2B5EF4-FFF2-40B4-BE49-F238E27FC236}">
              <a16:creationId xmlns:a16="http://schemas.microsoft.com/office/drawing/2014/main" id="{73DB41D1-0783-E8A2-C0AB-DFB1859A2371}"/>
            </a:ext>
          </a:extLst>
        </xdr:cNvPr>
        <xdr:cNvGrpSpPr/>
      </xdr:nvGrpSpPr>
      <xdr:grpSpPr>
        <a:xfrm>
          <a:off x="180974" y="518789"/>
          <a:ext cx="1008000" cy="289373"/>
          <a:chOff x="179844" y="518789"/>
          <a:chExt cx="1008000" cy="289373"/>
        </a:xfrm>
      </xdr:grpSpPr>
      <xdr:sp macro="[0]!AKTION_TerminListe_FilterClear" textlink="">
        <xdr:nvSpPr>
          <xdr:cNvPr id="6" name="Rechteck: abgerundete Ecken 5">
            <a:extLst>
              <a:ext uri="{FF2B5EF4-FFF2-40B4-BE49-F238E27FC236}">
                <a16:creationId xmlns:a16="http://schemas.microsoft.com/office/drawing/2014/main" id="{FA42C541-B478-40FE-AFD2-9400F492602E}"/>
              </a:ext>
            </a:extLst>
          </xdr:cNvPr>
          <xdr:cNvSpPr>
            <a:spLocks/>
          </xdr:cNvSpPr>
        </xdr:nvSpPr>
        <xdr:spPr>
          <a:xfrm>
            <a:off x="179844" y="520162"/>
            <a:ext cx="1008000" cy="2880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100" b="1"/>
              <a:t>Filter</a:t>
            </a:r>
            <a:r>
              <a:rPr lang="de-DE" sz="1100" b="1" baseline="0"/>
              <a:t> aus</a:t>
            </a:r>
            <a:endParaRPr lang="de-DE" sz="1100" b="1"/>
          </a:p>
        </xdr:txBody>
      </xdr:sp>
      <xdr:pic>
        <xdr:nvPicPr>
          <xdr:cNvPr id="8" name="Grafik 7" descr="Umschaltfläche mit einfarbiger Füllung">
            <a:extLst>
              <a:ext uri="{FF2B5EF4-FFF2-40B4-BE49-F238E27FC236}">
                <a16:creationId xmlns:a16="http://schemas.microsoft.com/office/drawing/2014/main" id="{980E6629-A80E-9D0F-22E8-EFEDEA4268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8572" y="518789"/>
            <a:ext cx="288000" cy="288000"/>
          </a:xfrm>
          <a:prstGeom prst="rect">
            <a:avLst/>
          </a:prstGeom>
        </xdr:spPr>
      </xdr:pic>
    </xdr:grpSp>
    <xdr:clientData/>
  </xdr:twoCellAnchor>
  <xdr:twoCellAnchor>
    <xdr:from>
      <xdr:col>1</xdr:col>
      <xdr:colOff>38101</xdr:colOff>
      <xdr:row>0</xdr:row>
      <xdr:rowOff>852484</xdr:rowOff>
    </xdr:from>
    <xdr:to>
      <xdr:col>1</xdr:col>
      <xdr:colOff>1046101</xdr:colOff>
      <xdr:row>0</xdr:row>
      <xdr:rowOff>1154773</xdr:rowOff>
    </xdr:to>
    <xdr:grpSp>
      <xdr:nvGrpSpPr>
        <xdr:cNvPr id="12" name="Gruppieren 11">
          <a:extLst>
            <a:ext uri="{FF2B5EF4-FFF2-40B4-BE49-F238E27FC236}">
              <a16:creationId xmlns:a16="http://schemas.microsoft.com/office/drawing/2014/main" id="{F9B8713A-F884-02CE-8A62-E88CEC701F28}"/>
            </a:ext>
          </a:extLst>
        </xdr:cNvPr>
        <xdr:cNvGrpSpPr/>
      </xdr:nvGrpSpPr>
      <xdr:grpSpPr>
        <a:xfrm>
          <a:off x="161926" y="852484"/>
          <a:ext cx="1008000" cy="302289"/>
          <a:chOff x="160796" y="852484"/>
          <a:chExt cx="1008000" cy="302289"/>
        </a:xfrm>
      </xdr:grpSpPr>
      <xdr:sp macro="[0]!AKTION_TerminListe_Feiertage" textlink="">
        <xdr:nvSpPr>
          <xdr:cNvPr id="3" name="Rechteck: abgerundete Ecken 2">
            <a:extLst>
              <a:ext uri="{FF2B5EF4-FFF2-40B4-BE49-F238E27FC236}">
                <a16:creationId xmlns:a16="http://schemas.microsoft.com/office/drawing/2014/main" id="{B67B3F97-A849-8E4D-3671-354636A32E25}"/>
              </a:ext>
            </a:extLst>
          </xdr:cNvPr>
          <xdr:cNvSpPr>
            <a:spLocks/>
          </xdr:cNvSpPr>
        </xdr:nvSpPr>
        <xdr:spPr>
          <a:xfrm>
            <a:off x="160796" y="866773"/>
            <a:ext cx="1008000" cy="2880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100" b="1"/>
              <a:t>Feiertage</a:t>
            </a:r>
          </a:p>
        </xdr:txBody>
      </xdr:sp>
      <xdr:pic>
        <xdr:nvPicPr>
          <xdr:cNvPr id="10" name="Grafik 9" descr="Tageskalender mit einfarbiger Füllung">
            <a:extLst>
              <a:ext uri="{FF2B5EF4-FFF2-40B4-BE49-F238E27FC236}">
                <a16:creationId xmlns:a16="http://schemas.microsoft.com/office/drawing/2014/main" id="{94D59BF2-AFC0-91ED-D309-A9CFCE3AF74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5979" y="852484"/>
            <a:ext cx="288000" cy="288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152399</xdr:colOff>
      <xdr:row>2</xdr:row>
      <xdr:rowOff>38100</xdr:rowOff>
    </xdr:from>
    <xdr:to>
      <xdr:col>2</xdr:col>
      <xdr:colOff>1412399</xdr:colOff>
      <xdr:row>4</xdr:row>
      <xdr:rowOff>17100</xdr:rowOff>
    </xdr:to>
    <xdr:grpSp>
      <xdr:nvGrpSpPr>
        <xdr:cNvPr id="2" name="Gruppieren 1">
          <a:extLst>
            <a:ext uri="{FF2B5EF4-FFF2-40B4-BE49-F238E27FC236}">
              <a16:creationId xmlns:a16="http://schemas.microsoft.com/office/drawing/2014/main" id="{A451EC23-FAFF-461E-85EC-31CD460B6988}"/>
            </a:ext>
          </a:extLst>
        </xdr:cNvPr>
        <xdr:cNvGrpSpPr/>
      </xdr:nvGrpSpPr>
      <xdr:grpSpPr>
        <a:xfrm>
          <a:off x="3028949" y="495300"/>
          <a:ext cx="1260000" cy="360000"/>
          <a:chOff x="3400424" y="495300"/>
          <a:chExt cx="1250935" cy="360000"/>
        </a:xfrm>
      </xdr:grpSpPr>
      <xdr:sp macro="[0]!AKTION_Developer_Clear" textlink="">
        <xdr:nvSpPr>
          <xdr:cNvPr id="3" name="Berechnen">
            <a:extLst>
              <a:ext uri="{FF2B5EF4-FFF2-40B4-BE49-F238E27FC236}">
                <a16:creationId xmlns:a16="http://schemas.microsoft.com/office/drawing/2014/main" id="{E013D2C8-8946-B10A-F5F7-DDC8E35F515C}"/>
              </a:ext>
            </a:extLst>
          </xdr:cNvPr>
          <xdr:cNvSpPr>
            <a:spLocks noChangeAspect="1"/>
          </xdr:cNvSpPr>
        </xdr:nvSpPr>
        <xdr:spPr>
          <a:xfrm>
            <a:off x="3400424" y="495300"/>
            <a:ext cx="1250935" cy="3600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200" b="1">
                <a:latin typeface="+mn-lt"/>
              </a:rPr>
              <a:t>Liste leeren</a:t>
            </a:r>
            <a:endParaRPr lang="de-DE" sz="1100" b="1">
              <a:latin typeface="+mn-lt"/>
            </a:endParaRPr>
          </a:p>
        </xdr:txBody>
      </xdr:sp>
      <xdr:pic macro="[0]!AKTION_Developer_Clear">
        <xdr:nvPicPr>
          <xdr:cNvPr id="4" name="Euro" descr="Papier mit einfarbiger Füllung">
            <a:extLst>
              <a:ext uri="{FF2B5EF4-FFF2-40B4-BE49-F238E27FC236}">
                <a16:creationId xmlns:a16="http://schemas.microsoft.com/office/drawing/2014/main" id="{FBF41252-7C3C-82AA-5016-5E94D67169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514726" y="561975"/>
            <a:ext cx="180000" cy="180000"/>
          </a:xfrm>
          <a:prstGeom prst="rect">
            <a:avLst/>
          </a:prstGeom>
        </xdr:spPr>
      </xdr:pic>
    </xdr:grpSp>
    <xdr:clientData fPrintsWithSheet="0"/>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chim Meyer" refreshedDate="46138.725811921293" createdVersion="8" refreshedVersion="8" minRefreshableVersion="3" recordCount="13" xr:uid="{E59D3669-BA84-4080-A6BA-FA5FFEC2AC7C}">
  <cacheSource type="worksheet">
    <worksheetSource name="tblAngebote"/>
  </cacheSource>
  <cacheFields count="7">
    <cacheField name="Datum" numFmtId="14">
      <sharedItems containsSemiMixedTypes="0" containsNonDate="0" containsDate="1" containsString="0" minDate="2026-04-20T00:00:00" maxDate="2026-05-03T00:00:00" count="13">
        <d v="2026-04-20T00:00:00"/>
        <d v="2026-04-21T00:00:00"/>
        <d v="2026-04-22T00:00:00"/>
        <d v="2026-04-23T00:00:00"/>
        <d v="2026-04-24T00:00:00"/>
        <d v="2026-04-25T00:00:00"/>
        <d v="2026-04-26T00:00:00"/>
        <d v="2026-04-27T00:00:00"/>
        <d v="2026-04-28T00:00:00"/>
        <d v="2026-04-29T00:00:00"/>
        <d v="2026-04-30T00:00:00"/>
        <d v="2026-05-01T00:00:00"/>
        <d v="2026-05-02T00:00:00"/>
      </sharedItems>
      <fieldGroup par="6"/>
    </cacheField>
    <cacheField name="Mitarbeiter" numFmtId="0">
      <sharedItems count="2">
        <s v="Lehrmann, Marcel"/>
        <s v="Plottek, André"/>
      </sharedItems>
    </cacheField>
    <cacheField name="Kunde" numFmtId="0">
      <sharedItems/>
    </cacheField>
    <cacheField name="Art" numFmtId="0">
      <sharedItems count="3">
        <s v="Festnetz"/>
        <s v="Mobilfunk"/>
        <s v="Daten"/>
      </sharedItems>
    </cacheField>
    <cacheField name="ID" numFmtId="0">
      <sharedItems/>
    </cacheField>
    <cacheField name="Tage (Datum)" numFmtId="0" databaseField="0">
      <fieldGroup base="0">
        <rangePr groupBy="days" startDate="2026-04-20T00:00:00" endDate="2026-05-03T00:00:00"/>
        <groupItems count="368">
          <s v="&lt;20.04.2026"/>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rz"/>
          <s v="02. Mrz"/>
          <s v="03. Mrz"/>
          <s v="04. Mrz"/>
          <s v="05. Mrz"/>
          <s v="06. Mrz"/>
          <s v="07. Mrz"/>
          <s v="08. Mrz"/>
          <s v="09. Mrz"/>
          <s v="10. Mrz"/>
          <s v="11. Mrz"/>
          <s v="12. Mrz"/>
          <s v="13. Mrz"/>
          <s v="14. Mrz"/>
          <s v="15. Mrz"/>
          <s v="16. Mrz"/>
          <s v="17. Mrz"/>
          <s v="18. Mrz"/>
          <s v="19. Mrz"/>
          <s v="20. Mrz"/>
          <s v="21. Mrz"/>
          <s v="22. Mrz"/>
          <s v="23. Mrz"/>
          <s v="24. Mrz"/>
          <s v="25. Mrz"/>
          <s v="26. Mrz"/>
          <s v="27. Mrz"/>
          <s v="28. Mrz"/>
          <s v="29. Mrz"/>
          <s v="30. Mrz"/>
          <s v="31. Mrz"/>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3.05.2026"/>
        </groupItems>
      </fieldGroup>
    </cacheField>
    <cacheField name="Monate (Datum)" numFmtId="0" databaseField="0">
      <fieldGroup base="0">
        <rangePr groupBy="months" startDate="2026-04-20T00:00:00" endDate="2026-05-03T00:00:00"/>
        <groupItems count="14">
          <s v="&lt;20.04.2026"/>
          <s v="Jan"/>
          <s v="Feb"/>
          <s v="Mrz"/>
          <s v="Apr"/>
          <s v="Mai"/>
          <s v="Jun"/>
          <s v="Jul"/>
          <s v="Aug"/>
          <s v="Sep"/>
          <s v="Okt"/>
          <s v="Nov"/>
          <s v="Dez"/>
          <s v="&gt;03.05.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s v="Testkunde 1"/>
    <x v="0"/>
    <s v="Lehrmann, Marcel;Festnetz;26-04-20;Testkunde 1"/>
  </r>
  <r>
    <x v="1"/>
    <x v="0"/>
    <s v="Meier"/>
    <x v="1"/>
    <s v="Lehrmann, Marcel;Mobilfunk;26-04-21;Meier"/>
  </r>
  <r>
    <x v="2"/>
    <x v="1"/>
    <s v="Kunze"/>
    <x v="0"/>
    <s v="Plottek, André;Festnetz;26-04-22;Kunze"/>
  </r>
  <r>
    <x v="3"/>
    <x v="0"/>
    <s v="Testkunde 2"/>
    <x v="0"/>
    <s v="Lehrmann, Marcel;Festnetz;26-04-23;Testkunde 2"/>
  </r>
  <r>
    <x v="4"/>
    <x v="0"/>
    <s v="Meier"/>
    <x v="1"/>
    <s v="Lehrmann, Marcel;Mobilfunk;26-04-24;Meier"/>
  </r>
  <r>
    <x v="5"/>
    <x v="1"/>
    <s v="Kunze"/>
    <x v="1"/>
    <s v="Plottek, André;Mobilfunk;26-04-25;Kunze"/>
  </r>
  <r>
    <x v="6"/>
    <x v="0"/>
    <s v="Testkunde 3"/>
    <x v="0"/>
    <s v="Lehrmann, Marcel;Festnetz;26-04-26;Testkunde 3"/>
  </r>
  <r>
    <x v="7"/>
    <x v="0"/>
    <s v="Meier"/>
    <x v="1"/>
    <s v="Lehrmann, Marcel;Mobilfunk;26-04-27;Meier"/>
  </r>
  <r>
    <x v="8"/>
    <x v="1"/>
    <s v="Kunze"/>
    <x v="0"/>
    <s v="Plottek, André;Festnetz;26-04-28;Kunze"/>
  </r>
  <r>
    <x v="9"/>
    <x v="0"/>
    <s v="Testkunde 4"/>
    <x v="0"/>
    <s v="Lehrmann, Marcel;Festnetz;26-04-29;Testkunde 4"/>
  </r>
  <r>
    <x v="10"/>
    <x v="0"/>
    <s v="Meier"/>
    <x v="1"/>
    <s v="Lehrmann, Marcel;Mobilfunk;26-04-30;Meier"/>
  </r>
  <r>
    <x v="11"/>
    <x v="1"/>
    <s v="Kunze"/>
    <x v="2"/>
    <s v="Plottek, André;Daten;26-05-01;Kunze"/>
  </r>
  <r>
    <x v="12"/>
    <x v="0"/>
    <s v="Testkunde 5"/>
    <x v="0"/>
    <s v="Lehrmann, Marcel;Festnetz;26-05-02;Testkunde 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4ADE78-6AD8-4778-807C-6C4C64F9FE0A}" name="PivotTable2" cacheId="0" applyNumberFormats="0" applyBorderFormats="0" applyFontFormats="0" applyPatternFormats="0" applyAlignmentFormats="0" applyWidthHeightFormats="1" dataCaption="Werte" grandTotalCaption="Summe" updatedVersion="8" minRefreshableVersion="3" itemPrintTitles="1" createdVersion="8" indent="0" outline="1" outlineData="1" multipleFieldFilters="0" rowHeaderCaption="Mitarbeiter" colHeaderCaption="Anzahl">
  <location ref="H2:L10" firstHeaderRow="1" firstDataRow="2" firstDataCol="1"/>
  <pivotFields count="7">
    <pivotField numFmtId="14" showAll="0">
      <items count="14">
        <item x="0"/>
        <item x="1"/>
        <item x="2"/>
        <item x="3"/>
        <item x="4"/>
        <item x="5"/>
        <item x="6"/>
        <item x="7"/>
        <item x="8"/>
        <item x="9"/>
        <item x="10"/>
        <item x="11"/>
        <item x="12"/>
        <item t="default"/>
      </items>
    </pivotField>
    <pivotField axis="axisRow" showAll="0">
      <items count="3">
        <item x="0"/>
        <item x="1"/>
        <item t="default"/>
      </items>
    </pivotField>
    <pivotField showAll="0"/>
    <pivotField axis="axisCol" showAll="0">
      <items count="4">
        <item x="2"/>
        <item x="0"/>
        <item x="1"/>
        <item t="default"/>
      </items>
    </pivotField>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
    <field x="6"/>
  </rowFields>
  <rowItems count="7">
    <i>
      <x/>
    </i>
    <i r="1">
      <x v="4"/>
    </i>
    <i r="1">
      <x v="5"/>
    </i>
    <i>
      <x v="1"/>
    </i>
    <i r="1">
      <x v="4"/>
    </i>
    <i r="1">
      <x v="5"/>
    </i>
    <i t="grand">
      <x/>
    </i>
  </rowItems>
  <colFields count="1">
    <field x="3"/>
  </colFields>
  <colItems count="4">
    <i>
      <x/>
    </i>
    <i>
      <x v="1"/>
    </i>
    <i>
      <x v="2"/>
    </i>
    <i t="grand">
      <x/>
    </i>
  </colItems>
  <dataFields count="1">
    <dataField name="Überblick" fld="4" subtotal="count" baseField="0" baseItem="0" numFmtId="3"/>
  </dataField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79F1B638-19BB-4E30-8B9C-7BD9D2CC1C15}" sourceName="Jahr">
  <extLst>
    <x:ext xmlns:x15="http://schemas.microsoft.com/office/spreadsheetml/2010/11/main" uri="{2F2917AC-EB37-4324-AD4E-5DD8C200BD13}">
      <x15:tableSlicerCache tableId="13" column="8"/>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erminart" xr10:uid="{7E2EB063-22F7-477B-8A8B-BF0B4C8CC83A}" sourceName="Terminart">
  <extLst>
    <x:ext xmlns:x15="http://schemas.microsoft.com/office/spreadsheetml/2010/11/main" uri="{2F2917AC-EB37-4324-AD4E-5DD8C200BD13}">
      <x15:tableSlicerCache tableId="13"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itarbeiter" xr10:uid="{F7C9FD3F-F077-4FEB-9C0B-D3CACD5A8E1A}" sourceName="Mitarbeiter">
  <extLst>
    <x:ext xmlns:x15="http://schemas.microsoft.com/office/spreadsheetml/2010/11/main" uri="{2F2917AC-EB37-4324-AD4E-5DD8C200BD13}">
      <x15:tableSlicerCache tableId="1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ahr" xr10:uid="{DD21F11E-6AFC-4C40-AE21-C742549E6564}" cache="Datenschnitt_Jahr" caption="Jahr" columnCount="3" style="SlicerStyleLight3" rowHeight="252000"/>
  <slicer name="Terminart" xr10:uid="{40E42F6E-5ACF-47CA-B5E6-E28F99C4238C}" cache="Datenschnitt_Terminart" caption="Terminart" columnCount="3" style="SlicerStyleLight3" rowHeight="257175"/>
  <slicer name="Mitarbeiter" xr10:uid="{D7051620-5C23-41E5-8BBE-B430420858C3}" cache="Datenschnitt_Mitarbeiter" caption="Mitarbeiter" columnCount="2" style="SlicerStyleLight3"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704A6A5-C49E-4A0B-99F0-E7CE7AAFA582}" name="tblTermine" displayName="tblTermine" ref="B2:I334" totalsRowShown="0" headerRowDxfId="84" dataDxfId="83" tableBorderDxfId="82">
  <autoFilter ref="B2:I334" xr:uid="{0704A6A5-C49E-4A0B-99F0-E7CE7AAFA582}"/>
  <sortState xmlns:xlrd2="http://schemas.microsoft.com/office/spreadsheetml/2017/richdata2" ref="B4:I46">
    <sortCondition ref="B2:B46"/>
  </sortState>
  <tableColumns count="8">
    <tableColumn id="2" xr3:uid="{8156317B-9E36-4785-8D6D-460D9D1D8991}" name="Datum" dataDxfId="81"/>
    <tableColumn id="1" xr3:uid="{4F4C4E96-F5A3-411E-9033-B2D683445C4B}" name="Mitarbeiter" dataDxfId="80"/>
    <tableColumn id="3" xr3:uid="{7C66D539-5D98-40EF-8BDF-F63239C5232C}" name="Terminart" dataDxfId="79"/>
    <tableColumn id="4" xr3:uid="{F17AD5F5-D0D4-4A89-AF55-3D41E814A241}" name="Agent" dataDxfId="78"/>
    <tableColumn id="6" xr3:uid="{9A24EE8A-92EA-4421-8786-5F1DA0A50BB0}" name="Display Id" dataDxfId="77">
      <calculatedColumnFormula array="1">TerminArtId(tblTermine[[#This Row],[Terminart]], tblTermine[[#This Row],[Agent]])</calculatedColumnFormula>
    </tableColumn>
    <tableColumn id="5" xr3:uid="{13A762E2-0F69-4503-A808-667079702A4F}" name="Display" dataDxfId="76">
      <calculatedColumnFormula array="1">TerminArtDisplay(tblTermine[[#This Row],[Terminart]], tblTermine[[#This Row],[Agent]])</calculatedColumnFormula>
    </tableColumn>
    <tableColumn id="7" xr3:uid="{2DE66315-E983-4823-9846-C97F4E1921E8}" name="SearchTerm" dataDxfId="75">
      <calculatedColumnFormula array="1">MakeSearchTerm(tblTermine[[#This Row],[Mitarbeiter]], tblTermine[[#This Row],[Datum]])</calculatedColumnFormula>
    </tableColumn>
    <tableColumn id="8" xr3:uid="{D280D6C1-0DE5-4361-A58D-92A7C42F0305}" name="Jahr" dataDxfId="74">
      <calculatedColumnFormula>YEAR(tblTermine[[#This Row],[Datum]])</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06544A-5D4C-4637-88E9-403B46B90FB7}" name="tblAngebote" displayName="tblAngebote" ref="B2:F15" totalsRowShown="0" headerRowDxfId="73" dataDxfId="72">
  <autoFilter ref="B2:F15" xr:uid="{4506544A-5D4C-4637-88E9-403B46B90FB7}"/>
  <tableColumns count="5">
    <tableColumn id="2" xr3:uid="{083F5CFD-F641-40A5-B071-9B02A30A5D05}" name="Datum" dataDxfId="71"/>
    <tableColumn id="1" xr3:uid="{B0F6567E-3711-4B2D-8269-34EA0241E847}" name="Mitarbeiter" dataDxfId="70"/>
    <tableColumn id="3" xr3:uid="{48ECF7B8-6226-4AF8-8034-2D6CC48AB5F1}" name="Kunde" dataDxfId="69"/>
    <tableColumn id="4" xr3:uid="{FDCF0D5E-29D8-4948-904D-A62FF6AD0D04}" name="Art" dataDxfId="68"/>
    <tableColumn id="5" xr3:uid="{4FD2372F-EADB-4BC4-854B-F9BFCC9D7386}" name="ID" dataDxfId="67">
      <calculatedColumnFormula>tblAngebote[[#This Row],[Mitarbeiter]]&amp;";"&amp;tblAngebote[[#This Row],[Art]]&amp;";"&amp;TEXT(tblAngebote[[#This Row],[Datum]],"JJ-MM-TT")&amp;";"&amp;tblAngebote[[#This Row],[Kunde]]</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6CD101-97A8-4D9D-8441-2AAA781C4351}" name="tblVBNames" displayName="tblVBNames" ref="O2:Q9" totalsRowShown="0" headerRowDxfId="108" dataDxfId="107">
  <autoFilter ref="O2:Q9" xr:uid="{0A6CD101-97A8-4D9D-8441-2AAA781C4351}"/>
  <sortState xmlns:xlrd2="http://schemas.microsoft.com/office/spreadsheetml/2017/richdata2" ref="O3:O8">
    <sortCondition ref="O3:O8"/>
  </sortState>
  <tableColumns count="3">
    <tableColumn id="1" xr3:uid="{B02F0E02-B194-4482-8914-C1B36FA16C1E}" name="Mitarbeiter" dataDxfId="106"/>
    <tableColumn id="2" xr3:uid="{98B880A8-EA39-46FB-AAF9-0D3B68B32F13}" name="Aktiv" dataDxfId="105"/>
    <tableColumn id="3" xr3:uid="{B75D8DE0-BFB8-492F-818D-FD8C2FE4C967}" name="Bundesland" dataDxfId="104"/>
  </tableColumns>
  <tableStyleInfo name="TableStyleLight10"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3ED892-7D08-4696-945F-DDBC849A4DE3}" name="tblTerminArten" displayName="tblTerminArten" ref="W2:W7" totalsRowShown="0" headerRowDxfId="103">
  <autoFilter ref="W2:W7" xr:uid="{1C3ED892-7D08-4696-945F-DDBC849A4DE3}"/>
  <tableColumns count="1">
    <tableColumn id="1" xr3:uid="{C33A70F3-D304-45FC-B3E9-6B1335357150}" name="Terminarten"/>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69ED82-6777-446B-982B-61B0DB9A40A5}" name="tblFeiertage" displayName="tblFeiertage" ref="A2:J42" totalsRowShown="0" headerRowDxfId="102">
  <autoFilter ref="A2:J42" xr:uid="{1969ED82-6777-446B-982B-61B0DB9A40A5}"/>
  <sortState xmlns:xlrd2="http://schemas.microsoft.com/office/spreadsheetml/2017/richdata2" ref="A3:J42">
    <sortCondition ref="D2:D42"/>
  </sortState>
  <tableColumns count="10">
    <tableColumn id="1" xr3:uid="{BE1596AE-D78B-48C4-86FC-ADA91F9DCFEF}" name="Name"/>
    <tableColumn id="3" xr3:uid="{AC45B1E8-A0F3-40C9-BB86-371C343EF626}" name="Bundesland" dataDxfId="101"/>
    <tableColumn id="8" xr3:uid="{5745ACF8-694A-42AA-8AE9-8B58B3372170}" name="2025" dataDxfId="100"/>
    <tableColumn id="2" xr3:uid="{C48A8DAD-CE3B-4D6B-8E62-725E3888C305}" name="2026" dataDxfId="99"/>
    <tableColumn id="4" xr3:uid="{897A202C-4A4C-4A55-8247-E4EB29C3F97B}" name="2027" dataDxfId="98"/>
    <tableColumn id="5" xr3:uid="{0FB01786-7A04-4F35-9D38-AFD2AD2638C3}" name="2028" dataDxfId="97"/>
    <tableColumn id="6" xr3:uid="{302D3E39-AD75-47A2-9639-306F8B448AAF}" name="2029" dataDxfId="96"/>
    <tableColumn id="7" xr3:uid="{0FE51F71-0989-436C-ABB1-13B8CB73226F}" name="2030" dataDxfId="95"/>
    <tableColumn id="9" xr3:uid="{801FA2F5-46BF-4A2D-AF5D-A86B9070032E}" name="2031" dataDxfId="94"/>
    <tableColumn id="10" xr3:uid="{5F8B743A-930A-4C43-9503-20AD9BA19EE1}" name="2032" dataDxfId="93"/>
  </tableColumns>
  <tableStyleInfo name="TableStyleLight10" showFirstColumn="0"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396FF18-5E16-4C98-BAC2-E7B2B734BBF6}" name="tblBundesländer" displayName="tblBundesländer" ref="T2:U19" totalsRowShown="0" headerRowDxfId="92">
  <autoFilter ref="T2:U19" xr:uid="{0396FF18-5E16-4C98-BAC2-E7B2B734BBF6}"/>
  <tableColumns count="2">
    <tableColumn id="1" xr3:uid="{A2D3AD82-C418-4BD7-94C2-8879965860AC}" name="Bundesland"/>
    <tableColumn id="2" xr3:uid="{91474D4C-BF36-43E2-9077-AABE03EBA60C}" name="Kurz"/>
  </tableColumns>
  <tableStyleInfo name="TableStyleLight10"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2006EB-2BAC-453B-94F8-2D86A4DBF779}" name="tblOstern" displayName="tblOstern" ref="L2:M10" totalsRowShown="0" headerRowDxfId="91" dataDxfId="90">
  <autoFilter ref="L2:M10" xr:uid="{8C2006EB-2BAC-453B-94F8-2D86A4DBF779}"/>
  <tableColumns count="2">
    <tableColumn id="1" xr3:uid="{50AF7BF2-DC5D-4C02-B687-89B5DF2FCD05}" name="Jahr" dataDxfId="89"/>
    <tableColumn id="2" xr3:uid="{DA9571F8-627B-4F78-8D34-0081BE4FAE0D}" name="Ostersonntag" dataDxfId="88">
      <calculatedColumnFormula array="1">Ostersonntag(tblOstern[[#This Row],[Jahr]])</calculatedColumnFormula>
    </tableColumn>
  </tableColumns>
  <tableStyleInfo name="TableStyleLight10"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E3ED0EF-850D-4CD8-9ECA-946BE71A067F}" name="tblAngebotArt" displayName="tblAngebotArt" ref="Y2:Y7" totalsRowShown="0" headerRowDxfId="87" dataDxfId="86">
  <autoFilter ref="Y2:Y7" xr:uid="{3E3ED0EF-850D-4CD8-9ECA-946BE71A067F}"/>
  <tableColumns count="1">
    <tableColumn id="1" xr3:uid="{7E4D0933-FAC2-4DF1-89DB-533A6F6F70C1}" name="Angebotarten" dataDxfId="85"/>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E01975-F4F4-471B-8F3B-FC183ADA18AC}" name="tblDeveloper" displayName="tblDeveloper" ref="A6:F13" totalsRowShown="0" headerRowDxfId="66" dataDxfId="65">
  <autoFilter ref="A6:F13" xr:uid="{EBE01975-F4F4-471B-8F3B-FC183ADA18AC}"/>
  <tableColumns count="6">
    <tableColumn id="1" xr3:uid="{5D4793F9-A18C-4D83-8DC9-BE202B8D5BA8}" name="Headers" dataDxfId="64"/>
    <tableColumn id="7" xr3:uid="{F786F3AD-2BC4-4898-B4D0-6C037B3B1ABC}" name="Types"/>
    <tableColumn id="2" xr3:uid="{C72FED5D-030A-4343-9E91-F3B9BB085555}" name="VBA Names" dataDxfId="63">
      <calculatedColumnFormula>_xlfn.REGEXREPLACE(tblDeveloper[[#This Row],[Headers]], "\W", "")</calculatedColumnFormula>
    </tableColumn>
    <tableColumn id="3" xr3:uid="{6C6E7038-9E19-4CF2-BF7B-A07EC5FF9AD8}" name="Class Enums" dataDxfId="62">
      <calculatedColumnFormula>IF(DevEnumPrefix = "", "",DevEnumPrefix &amp; tblDeveloper[[#This Row],[VBA Names]] &amp; IF(ROW() = 7, " = 1", ""))</calculatedColumnFormula>
    </tableColumn>
    <tableColumn id="6" xr3:uid="{486B87AB-DCB6-4176-9D34-E390F150A787}" name="Var-Declarations" dataDxfId="61">
      <calculatedColumnFormula xml:space="preserve"> IF(ISBLANK(DevVarPrefix), "", DevVarPrefix &amp; " ") &amp; tblDeveloper[[#This Row],[VBA Names]] &amp; " As " &amp; IF(ISBLANK(tblDeveloper[[#This Row],[Types]]), "String", tblDeveloper[[#This Row],[Types]])</calculatedColumnFormula>
    </tableColumn>
    <tableColumn id="4" xr3:uid="{410DE6B4-4515-47C1-8908-5FE55043D081}" name="Assignments" dataDxfId="60">
      <calculatedColumnFormula>IF(ISBLANK(DevEnumPrefix), "", tblDeveloper[[#This Row],[VBA Names]] &amp; " = " &amp; "values(1, " &amp; DevEnumPrefix &amp; tblDeveloper[[#This Row],[VBA Names]] &amp; ")")</calculatedColumnFormula>
    </tableColumn>
  </tableColumns>
  <tableStyleInfo name="TableStyleLight13" showFirstColumn="0" showLastColumn="0" showRowStripes="1" showColumnStripes="1"/>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21E4341-6957-457E-8397-C0B40C9F3817}">
  <we:reference id="WA200003696" version="1.3.0.0" store="Omex" storeType="OMEX"/>
  <we:alternateReferences>
    <we:reference id="WA200003696" version="1.3.0.0" store="WA200003696" storeType="OMEX"/>
  </we:alternateReferences>
  <we:properties>
    <we:property name="projectV0_1-56c6e055-265e-4713-816e-a646dbb708de" value="{&quot;kind&quot;:&quot;AFEJSONBlobNode&quot;,&quot;id&quot;:&quot;{BA60D933-98D7-429C-BDF0-C84E2D2C8C7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C7360-0A17-484D-9E3C-FC8D8592A6F3}">
  <sheetPr codeName="shTerminÜbersicht">
    <pageSetUpPr fitToPage="1"/>
  </sheetPr>
  <dimension ref="A1:R50"/>
  <sheetViews>
    <sheetView showGridLines="0" zoomScaleNormal="100" workbookViewId="0">
      <selection activeCell="M10" sqref="M10"/>
    </sheetView>
  </sheetViews>
  <sheetFormatPr baseColWidth="10" defaultRowHeight="15" x14ac:dyDescent="0.25"/>
  <cols>
    <col min="1" max="1" width="6.25" style="14" customWidth="1"/>
    <col min="2" max="2" width="0.875" style="14" customWidth="1"/>
    <col min="3" max="3" width="23.125" style="14" customWidth="1"/>
    <col min="4" max="5" width="13.625" style="14" customWidth="1"/>
    <col min="6" max="10" width="13.625" style="15" customWidth="1"/>
    <col min="11" max="11" width="1.625" style="14" customWidth="1"/>
    <col min="12" max="12" width="23.5" style="14" customWidth="1"/>
    <col min="13" max="13" width="16.625" style="21" customWidth="1"/>
    <col min="14" max="14" width="1.375" style="14" customWidth="1"/>
    <col min="15" max="15" width="11" style="14"/>
    <col min="16" max="16" width="6.875" style="15" customWidth="1"/>
    <col min="17" max="16384" width="11" style="14"/>
  </cols>
  <sheetData>
    <row r="1" spans="1:16" s="19" customFormat="1" ht="27" customHeight="1" x14ac:dyDescent="0.25">
      <c r="C1" s="19" t="s">
        <v>96</v>
      </c>
      <c r="D1" s="53">
        <v>46141</v>
      </c>
      <c r="L1" s="20"/>
    </row>
    <row r="3" spans="1:16" ht="15.75" x14ac:dyDescent="0.25">
      <c r="A3" s="13"/>
      <c r="B3" s="13"/>
      <c r="C3" s="47" t="s">
        <v>114</v>
      </c>
      <c r="D3" s="25" t="s">
        <v>90</v>
      </c>
      <c r="E3" s="25" t="s">
        <v>17</v>
      </c>
      <c r="F3" s="25" t="s">
        <v>18</v>
      </c>
      <c r="G3" s="25" t="s">
        <v>98</v>
      </c>
      <c r="H3" s="27" t="s">
        <v>97</v>
      </c>
      <c r="I3" s="25" t="s">
        <v>91</v>
      </c>
      <c r="J3" s="27" t="s">
        <v>92</v>
      </c>
      <c r="L3" s="48" t="s">
        <v>1</v>
      </c>
    </row>
    <row r="4" spans="1:16" ht="15" customHeight="1" x14ac:dyDescent="0.25"/>
    <row r="5" spans="1:16" s="16" customFormat="1" ht="15.95" customHeight="1" x14ac:dyDescent="0.25">
      <c r="C5" s="23" t="s">
        <v>88</v>
      </c>
      <c r="D5" s="24" cm="1">
        <f t="array" ref="D5">KWStart(YEAR(TerminStichtag), C6)</f>
        <v>46153</v>
      </c>
      <c r="E5" s="24">
        <f>D5 + 1</f>
        <v>46154</v>
      </c>
      <c r="F5" s="24">
        <f t="shared" ref="F5:J5" si="0">E5+1</f>
        <v>46155</v>
      </c>
      <c r="G5" s="24">
        <f t="shared" si="0"/>
        <v>46156</v>
      </c>
      <c r="H5" s="24">
        <f t="shared" si="0"/>
        <v>46157</v>
      </c>
      <c r="I5" s="24">
        <f t="shared" si="0"/>
        <v>46158</v>
      </c>
      <c r="J5" s="24">
        <f t="shared" si="0"/>
        <v>46159</v>
      </c>
      <c r="L5" s="44" t="str">
        <f>"KW " &amp; C6 &amp; " gesamt:"</f>
        <v>KW 20 gesamt:</v>
      </c>
      <c r="M5" s="45"/>
      <c r="O5" s="44" t="s">
        <v>118</v>
      </c>
      <c r="P5" s="57"/>
    </row>
    <row r="6" spans="1:16" s="17" customFormat="1" ht="15.95" customHeight="1" x14ac:dyDescent="0.25">
      <c r="C6" s="65">
        <f>C13+1</f>
        <v>20</v>
      </c>
      <c r="D6" s="25" t="str" cm="1">
        <f t="array" ref="D6">TerminAnTag(TerminMitarbeiter, D5)</f>
        <v>Alt-KB (AP)</v>
      </c>
      <c r="E6" s="25" t="str" cm="1">
        <f t="array" ref="E6">TerminAnTag(TerminMitarbeiter, E5)</f>
        <v/>
      </c>
      <c r="F6" s="25" t="str" cm="1">
        <f t="array" ref="F6">TerminAnTag(TerminMitarbeiter, F5)</f>
        <v/>
      </c>
      <c r="G6" s="25" t="str" cm="1">
        <f t="array" ref="G6">TerminAnTag(TerminMitarbeiter, G5)</f>
        <v>Feiertag</v>
      </c>
      <c r="H6" s="25" t="str" cm="1">
        <f t="array" ref="H6">TerminAnTag(TerminMitarbeiter, H5)</f>
        <v>Urlaub</v>
      </c>
      <c r="I6" s="76" t="str" cm="1">
        <f t="array" ref="I6">TerminAnTag(TerminMitarbeiter, I5)</f>
        <v/>
      </c>
      <c r="J6" s="76" t="str" cm="1">
        <f t="array" ref="J6">TerminAnTag(TerminMitarbeiter, J5)</f>
        <v/>
      </c>
      <c r="L6" s="28" t="s">
        <v>80</v>
      </c>
      <c r="M6" s="29">
        <f>SUM(D10:J10)</f>
        <v>1</v>
      </c>
      <c r="O6" s="54" t="s">
        <v>115</v>
      </c>
      <c r="P6" s="58">
        <f>COUNTIFS(tblAngebote[Art], O6, tblAngebote[Mitarbeiter], TerminMitarbeiter, tblAngebote[Datum], "&gt;=" &amp; $D$5, tblAngebote[Datum], "&lt;=" &amp; $J$5)</f>
        <v>0</v>
      </c>
    </row>
    <row r="7" spans="1:16" s="17" customFormat="1" ht="15.95" customHeight="1" x14ac:dyDescent="0.25">
      <c r="C7" s="69"/>
      <c r="D7" s="67"/>
      <c r="E7" s="25"/>
      <c r="F7" s="25"/>
      <c r="G7" s="25"/>
      <c r="H7" s="25"/>
      <c r="I7" s="76"/>
      <c r="J7" s="76"/>
      <c r="L7" s="28" t="s">
        <v>94</v>
      </c>
      <c r="M7" s="29">
        <f>COUNTIF(D6:J9, "Urlaub")</f>
        <v>1</v>
      </c>
      <c r="O7" s="54" t="s">
        <v>116</v>
      </c>
      <c r="P7" s="58">
        <f>COUNTIFS(tblAngebote[Art], O7, tblAngebote[Mitarbeiter], TerminMitarbeiter, tblAngebote[Datum], "&gt;=" &amp; $D$5, tblAngebote[Datum], "&lt;=" &amp; $J$5)</f>
        <v>0</v>
      </c>
    </row>
    <row r="8" spans="1:16" s="17" customFormat="1" ht="15.95" customHeight="1" x14ac:dyDescent="0.25">
      <c r="C8" s="70"/>
      <c r="D8" s="67"/>
      <c r="E8" s="25"/>
      <c r="F8" s="25"/>
      <c r="G8" s="25"/>
      <c r="H8" s="25"/>
      <c r="I8" s="76"/>
      <c r="J8" s="76"/>
      <c r="L8" s="28" t="s">
        <v>95</v>
      </c>
      <c r="M8" s="29">
        <f>COUNTIF(D6:J9, "Feiertag")</f>
        <v>1</v>
      </c>
      <c r="O8" s="54" t="s">
        <v>117</v>
      </c>
      <c r="P8" s="58">
        <f>COUNTIFS(tblAngebote[Art], O8, tblAngebote[Mitarbeiter], TerminMitarbeiter, tblAngebote[Datum], "&gt;=" &amp; $D$5, tblAngebote[Datum], "&lt;=" &amp; $J$5)</f>
        <v>0</v>
      </c>
    </row>
    <row r="9" spans="1:16" s="17" customFormat="1" ht="15.95" customHeight="1" x14ac:dyDescent="0.25">
      <c r="C9" s="70"/>
      <c r="D9" s="67"/>
      <c r="E9" s="25"/>
      <c r="F9" s="25"/>
      <c r="G9" s="25"/>
      <c r="H9" s="25"/>
      <c r="I9" s="76"/>
      <c r="J9" s="76"/>
      <c r="L9" s="28" t="s">
        <v>93</v>
      </c>
      <c r="M9" s="29">
        <f>5-M8-M7</f>
        <v>3</v>
      </c>
      <c r="P9" s="18"/>
    </row>
    <row r="10" spans="1:16" s="17" customFormat="1" ht="15.95" customHeight="1" x14ac:dyDescent="0.25">
      <c r="C10" s="71"/>
      <c r="D10" s="68" cm="1">
        <f t="array" ref="D10">ANZAHLTERMINE(D6:D9)</f>
        <v>1</v>
      </c>
      <c r="E10" s="26" cm="1">
        <f t="array" ref="E10">ANZAHLTERMINE(E6:E9)</f>
        <v>0</v>
      </c>
      <c r="F10" s="26" cm="1">
        <f t="array" ref="F10">ANZAHLTERMINE(F6:F9)</f>
        <v>0</v>
      </c>
      <c r="G10" s="26" cm="1">
        <f t="array" ref="G10">ANZAHLTERMINE(G6:G9)</f>
        <v>0</v>
      </c>
      <c r="H10" s="26" cm="1">
        <f t="array" ref="H10">ANZAHLTERMINE(H6:H9)</f>
        <v>0</v>
      </c>
      <c r="I10" s="26" cm="1">
        <f t="array" ref="I10">ANZAHLTERMINE(I6:I9)</f>
        <v>0</v>
      </c>
      <c r="J10" s="26" cm="1">
        <f t="array" ref="J10">ANZAHLTERMINE(J6:J9)</f>
        <v>0</v>
      </c>
      <c r="L10" s="28" t="s">
        <v>137</v>
      </c>
      <c r="M10" s="82">
        <f>IF(M9=0,"",M6/M9)</f>
        <v>0.33333333333333331</v>
      </c>
      <c r="P10" s="18"/>
    </row>
    <row r="11" spans="1:16" s="17" customFormat="1" ht="15.95" customHeight="1" x14ac:dyDescent="0.25">
      <c r="C11" s="18"/>
      <c r="D11" s="18"/>
      <c r="E11" s="18"/>
      <c r="F11" s="18"/>
      <c r="G11" s="18"/>
      <c r="H11" s="18"/>
      <c r="I11" s="18"/>
      <c r="J11" s="18"/>
      <c r="P11" s="18"/>
    </row>
    <row r="12" spans="1:16" s="17" customFormat="1" ht="15.95" customHeight="1" x14ac:dyDescent="0.25">
      <c r="C12" s="23" t="s">
        <v>88</v>
      </c>
      <c r="D12" s="24" cm="1">
        <f t="array" ref="D12">KWStart(YEAR(TerminStichtag), C13)</f>
        <v>46146</v>
      </c>
      <c r="E12" s="24">
        <f>D12 + 1</f>
        <v>46147</v>
      </c>
      <c r="F12" s="24">
        <f t="shared" ref="F12" si="1">E12+1</f>
        <v>46148</v>
      </c>
      <c r="G12" s="24">
        <f t="shared" ref="G12" si="2">F12+1</f>
        <v>46149</v>
      </c>
      <c r="H12" s="24">
        <f t="shared" ref="H12" si="3">G12+1</f>
        <v>46150</v>
      </c>
      <c r="I12" s="24">
        <f t="shared" ref="I12" si="4">H12+1</f>
        <v>46151</v>
      </c>
      <c r="J12" s="24">
        <f t="shared" ref="J12" si="5">I12+1</f>
        <v>46152</v>
      </c>
      <c r="L12" s="44" t="str">
        <f>"KW " &amp; C13 &amp; " gesamt:"</f>
        <v>KW 19 gesamt:</v>
      </c>
      <c r="M12" s="46"/>
      <c r="O12" s="44" t="s">
        <v>118</v>
      </c>
      <c r="P12" s="57"/>
    </row>
    <row r="13" spans="1:16" s="17" customFormat="1" ht="15.95" customHeight="1" x14ac:dyDescent="0.25">
      <c r="C13" s="66">
        <f>C20 + 1</f>
        <v>19</v>
      </c>
      <c r="D13" s="25" t="str" cm="1">
        <f t="array" ref="D13">TerminAnTag(TerminMitarbeiter, D12)</f>
        <v>Urlaub</v>
      </c>
      <c r="E13" s="25" t="str" cm="1">
        <f t="array" ref="E13">TerminAnTag(TerminMitarbeiter, E12)</f>
        <v>Urlaub</v>
      </c>
      <c r="F13" s="25" t="str" cm="1">
        <f t="array" ref="F13">TerminAnTag(TerminMitarbeiter, F12)</f>
        <v>Urlaub</v>
      </c>
      <c r="G13" s="25" t="str" cm="1">
        <f t="array" ref="G13">TerminAnTag(TerminMitarbeiter, G12)</f>
        <v>Urlaub</v>
      </c>
      <c r="H13" s="25" t="str" cm="1">
        <f t="array" ref="H13">TerminAnTag(TerminMitarbeiter, H12)</f>
        <v>Urlaub</v>
      </c>
      <c r="I13" s="76" t="str" cm="1">
        <f t="array" ref="I13">TerminAnTag(TerminMitarbeiter, I12)</f>
        <v/>
      </c>
      <c r="J13" s="76" t="str" cm="1">
        <f t="array" ref="J13">TerminAnTag(TerminMitarbeiter, J12)</f>
        <v/>
      </c>
      <c r="L13" s="28" t="s">
        <v>80</v>
      </c>
      <c r="M13" s="29">
        <f>SUM(D17:J17)</f>
        <v>0</v>
      </c>
      <c r="O13" s="54" t="s">
        <v>115</v>
      </c>
      <c r="P13" s="58">
        <f>COUNTIFS(tblAngebote[Art], O13, tblAngebote[Mitarbeiter], TerminMitarbeiter, tblAngebote[Datum], "&gt;=" &amp; D12, tblAngebote[Datum], "&lt;=" &amp; J12)</f>
        <v>0</v>
      </c>
    </row>
    <row r="14" spans="1:16" s="17" customFormat="1" ht="15.95" customHeight="1" x14ac:dyDescent="0.25">
      <c r="C14" s="72"/>
      <c r="D14" s="67"/>
      <c r="E14" s="25"/>
      <c r="F14" s="25"/>
      <c r="G14" s="25"/>
      <c r="H14" s="25"/>
      <c r="I14" s="76"/>
      <c r="J14" s="76"/>
      <c r="L14" s="28" t="s">
        <v>94</v>
      </c>
      <c r="M14" s="29">
        <f>COUNTIF(D13:J16, "Urlaub")</f>
        <v>5</v>
      </c>
      <c r="O14" s="54" t="s">
        <v>116</v>
      </c>
      <c r="P14" s="58">
        <f>COUNTIFS(tblAngebote[Art], O14, tblAngebote[Mitarbeiter], TerminMitarbeiter, tblAngebote[Datum], "&gt;=" &amp; D12, tblAngebote[Datum], "&lt;=" &amp; J12)</f>
        <v>0</v>
      </c>
    </row>
    <row r="15" spans="1:16" s="17" customFormat="1" ht="15.95" customHeight="1" x14ac:dyDescent="0.25">
      <c r="C15" s="73"/>
      <c r="D15" s="67"/>
      <c r="E15" s="25"/>
      <c r="F15" s="25"/>
      <c r="G15" s="25"/>
      <c r="H15" s="25"/>
      <c r="I15" s="76"/>
      <c r="J15" s="76"/>
      <c r="L15" s="28" t="s">
        <v>95</v>
      </c>
      <c r="M15" s="29">
        <f>COUNTIF(D13:J16, "Feiertag")</f>
        <v>0</v>
      </c>
      <c r="O15" s="54" t="s">
        <v>117</v>
      </c>
      <c r="P15" s="58">
        <f>COUNTIFS(tblAngebote[Art], O15, tblAngebote[Mitarbeiter], TerminMitarbeiter, tblAngebote[Datum], "&gt;=" &amp; D12, tblAngebote[Datum], "&lt;=" &amp; J12)</f>
        <v>0</v>
      </c>
    </row>
    <row r="16" spans="1:16" s="17" customFormat="1" ht="15.95" customHeight="1" x14ac:dyDescent="0.25">
      <c r="C16" s="73"/>
      <c r="D16" s="67"/>
      <c r="E16" s="25"/>
      <c r="F16" s="25"/>
      <c r="G16" s="25"/>
      <c r="H16" s="25"/>
      <c r="I16" s="76"/>
      <c r="J16" s="76"/>
      <c r="L16" s="28" t="s">
        <v>93</v>
      </c>
      <c r="M16" s="29">
        <f>5-M15-M14</f>
        <v>0</v>
      </c>
      <c r="P16" s="18"/>
    </row>
    <row r="17" spans="3:16" s="17" customFormat="1" ht="15.95" customHeight="1" x14ac:dyDescent="0.25">
      <c r="C17" s="74"/>
      <c r="D17" s="68" cm="1">
        <f t="array" ref="D17">ANZAHLTERMINE(D13:D16)</f>
        <v>0</v>
      </c>
      <c r="E17" s="26" cm="1">
        <f t="array" ref="E17">ANZAHLTERMINE(E13:E16)</f>
        <v>0</v>
      </c>
      <c r="F17" s="26" cm="1">
        <f t="array" ref="F17">ANZAHLTERMINE(F13:F16)</f>
        <v>0</v>
      </c>
      <c r="G17" s="26" cm="1">
        <f t="array" ref="G17">ANZAHLTERMINE(G13:G16)</f>
        <v>0</v>
      </c>
      <c r="H17" s="26" cm="1">
        <f t="array" ref="H17">ANZAHLTERMINE(H13:H16)</f>
        <v>0</v>
      </c>
      <c r="I17" s="26" cm="1">
        <f t="array" ref="I17">ANZAHLTERMINE(I13:I16)</f>
        <v>0</v>
      </c>
      <c r="J17" s="26" cm="1">
        <f t="array" ref="J17">ANZAHLTERMINE(J13:J16)</f>
        <v>0</v>
      </c>
      <c r="L17" s="28" t="s">
        <v>137</v>
      </c>
      <c r="M17" s="82" t="str">
        <f>IF(M16=0,"",M13/M16)</f>
        <v/>
      </c>
      <c r="P17" s="18"/>
    </row>
    <row r="18" spans="3:16" s="17" customFormat="1" ht="15.95" customHeight="1" x14ac:dyDescent="0.25">
      <c r="C18" s="18"/>
      <c r="D18" s="18"/>
      <c r="E18" s="18"/>
      <c r="F18" s="18"/>
      <c r="G18" s="18"/>
      <c r="H18" s="18"/>
      <c r="I18" s="18"/>
      <c r="J18" s="18"/>
      <c r="P18" s="18"/>
    </row>
    <row r="19" spans="3:16" s="17" customFormat="1" ht="15.95" customHeight="1" x14ac:dyDescent="0.25">
      <c r="C19" s="23" t="s">
        <v>88</v>
      </c>
      <c r="D19" s="24" cm="1">
        <f t="array" ref="D19">KWStart(YEAR(TerminStichtag), C20)</f>
        <v>46139</v>
      </c>
      <c r="E19" s="24">
        <f>D19 + 1</f>
        <v>46140</v>
      </c>
      <c r="F19" s="24">
        <f t="shared" ref="F19" si="6">E19+1</f>
        <v>46141</v>
      </c>
      <c r="G19" s="24">
        <f t="shared" ref="G19" si="7">F19+1</f>
        <v>46142</v>
      </c>
      <c r="H19" s="24">
        <f t="shared" ref="H19" si="8">G19+1</f>
        <v>46143</v>
      </c>
      <c r="I19" s="24">
        <f t="shared" ref="I19" si="9">H19+1</f>
        <v>46144</v>
      </c>
      <c r="J19" s="24">
        <f t="shared" ref="J19" si="10">I19+1</f>
        <v>46145</v>
      </c>
      <c r="K19" s="18"/>
      <c r="L19" s="44" t="str">
        <f>"KW " &amp; C20 &amp; " gesamt:"</f>
        <v>KW 18 gesamt:</v>
      </c>
      <c r="M19" s="46"/>
      <c r="O19" s="44" t="s">
        <v>118</v>
      </c>
      <c r="P19" s="57"/>
    </row>
    <row r="20" spans="3:16" s="17" customFormat="1" ht="15.95" customHeight="1" x14ac:dyDescent="0.25">
      <c r="C20" s="66">
        <f>WEEKNUM(TerminStichtag, 2)</f>
        <v>18</v>
      </c>
      <c r="D20" s="25" t="str" cm="1">
        <f t="array" ref="D20">TerminAnTag(TerminMitarbeiter, D19)</f>
        <v>Alt-KB (ZZ)</v>
      </c>
      <c r="E20" s="25" t="str" cm="1">
        <f t="array" ref="E20:E21">TerminAnTag(TerminMitarbeiter, E19)</f>
        <v>Eigentermin</v>
      </c>
      <c r="F20" s="25" t="str" cm="1">
        <f t="array" ref="F20">TerminAnTag(TerminMitarbeiter, F19)</f>
        <v>Bestand</v>
      </c>
      <c r="G20" s="25" t="str" cm="1">
        <f t="array" ref="G20">TerminAnTag(TerminMitarbeiter, G19)</f>
        <v>Alt-KB</v>
      </c>
      <c r="H20" s="25" t="str" cm="1">
        <f t="array" ref="H20">TerminAnTag(TerminMitarbeiter, H19)</f>
        <v>Feiertag</v>
      </c>
      <c r="I20" s="76" t="str" cm="1">
        <f t="array" ref="I20">TerminAnTag(TerminMitarbeiter, I19)</f>
        <v/>
      </c>
      <c r="J20" s="76" t="str" cm="1">
        <f t="array" ref="J20">TerminAnTag(TerminMitarbeiter, J19)</f>
        <v/>
      </c>
      <c r="L20" s="28" t="s">
        <v>80</v>
      </c>
      <c r="M20" s="29">
        <f>SUM(D24:J24)</f>
        <v>5</v>
      </c>
      <c r="O20" s="54" t="s">
        <v>115</v>
      </c>
      <c r="P20" s="58">
        <f>COUNTIFS(tblAngebote[Art], O20, tblAngebote[Mitarbeiter], TerminMitarbeiter, tblAngebote[Datum], "&gt;=" &amp; D19, tblAngebote[Datum], "&lt;=" &amp; J19)</f>
        <v>2</v>
      </c>
    </row>
    <row r="21" spans="3:16" s="17" customFormat="1" ht="15.95" customHeight="1" x14ac:dyDescent="0.25">
      <c r="C21" s="72"/>
      <c r="D21" s="67"/>
      <c r="E21" s="25" t="str">
        <v>Alt-KB</v>
      </c>
      <c r="F21" s="25"/>
      <c r="G21" s="25"/>
      <c r="H21" s="25"/>
      <c r="I21" s="76"/>
      <c r="J21" s="76"/>
      <c r="L21" s="28" t="s">
        <v>94</v>
      </c>
      <c r="M21" s="29">
        <f>COUNTIF(D20:J23, "Urlaub")</f>
        <v>0</v>
      </c>
      <c r="O21" s="54" t="s">
        <v>116</v>
      </c>
      <c r="P21" s="58">
        <f>COUNTIFS(tblAngebote[Art], O21, tblAngebote[Mitarbeiter], TerminMitarbeiter, tblAngebote[Datum], "&gt;=" &amp; D19, tblAngebote[Datum], "&lt;=" &amp; J19)</f>
        <v>0</v>
      </c>
    </row>
    <row r="22" spans="3:16" s="17" customFormat="1" ht="15.95" customHeight="1" x14ac:dyDescent="0.25">
      <c r="C22" s="73"/>
      <c r="D22" s="67"/>
      <c r="E22" s="25"/>
      <c r="F22" s="25"/>
      <c r="G22" s="25"/>
      <c r="H22" s="25"/>
      <c r="I22" s="76"/>
      <c r="J22" s="76"/>
      <c r="L22" s="28" t="s">
        <v>95</v>
      </c>
      <c r="M22" s="29">
        <f>COUNTIF(D20:J23, "Feiertag")</f>
        <v>1</v>
      </c>
      <c r="O22" s="54" t="s">
        <v>117</v>
      </c>
      <c r="P22" s="58">
        <f>COUNTIFS(tblAngebote[Art], O22, tblAngebote[Mitarbeiter], TerminMitarbeiter, tblAngebote[Datum], "&gt;=" &amp; D19, tblAngebote[Datum], "&lt;=" &amp; J19)</f>
        <v>0</v>
      </c>
    </row>
    <row r="23" spans="3:16" s="17" customFormat="1" ht="15.95" customHeight="1" x14ac:dyDescent="0.25">
      <c r="C23" s="73"/>
      <c r="D23" s="67"/>
      <c r="E23" s="25"/>
      <c r="F23" s="25"/>
      <c r="G23" s="25"/>
      <c r="H23" s="25"/>
      <c r="I23" s="76"/>
      <c r="J23" s="76"/>
      <c r="L23" s="28" t="s">
        <v>93</v>
      </c>
      <c r="M23" s="29">
        <f>5-M22-M21</f>
        <v>4</v>
      </c>
      <c r="P23" s="18"/>
    </row>
    <row r="24" spans="3:16" s="17" customFormat="1" ht="15.95" customHeight="1" x14ac:dyDescent="0.25">
      <c r="C24" s="75"/>
      <c r="D24" s="68" cm="1">
        <f t="array" ref="D24">ANZAHLTERMINE(D20:D23)</f>
        <v>1</v>
      </c>
      <c r="E24" s="26" cm="1">
        <f t="array" ref="E24">ANZAHLTERMINE(E20:E23)</f>
        <v>2</v>
      </c>
      <c r="F24" s="26" cm="1">
        <f t="array" ref="F24">ANZAHLTERMINE(F20:F23)</f>
        <v>1</v>
      </c>
      <c r="G24" s="26" cm="1">
        <f t="array" ref="G24">ANZAHLTERMINE(G20:G23)</f>
        <v>1</v>
      </c>
      <c r="H24" s="26" cm="1">
        <f t="array" ref="H24">ANZAHLTERMINE(H20:H23)</f>
        <v>0</v>
      </c>
      <c r="I24" s="26" cm="1">
        <f t="array" ref="I24">ANZAHLTERMINE(I20:I23)</f>
        <v>0</v>
      </c>
      <c r="J24" s="26" cm="1">
        <f t="array" ref="J24">ANZAHLTERMINE(J20:J23)</f>
        <v>0</v>
      </c>
      <c r="L24" s="28" t="s">
        <v>137</v>
      </c>
      <c r="M24" s="82">
        <f>IF(M23=0,"",M20/M23)</f>
        <v>1.25</v>
      </c>
      <c r="P24" s="18"/>
    </row>
    <row r="25" spans="3:16" s="17" customFormat="1" ht="15.95" customHeight="1" x14ac:dyDescent="0.25">
      <c r="C25" s="18"/>
      <c r="D25" s="18"/>
      <c r="E25" s="18"/>
      <c r="F25" s="18"/>
      <c r="G25" s="18"/>
      <c r="H25" s="18"/>
      <c r="I25" s="18"/>
      <c r="J25" s="18"/>
      <c r="P25" s="18"/>
    </row>
    <row r="26" spans="3:16" s="17" customFormat="1" ht="15.95" customHeight="1" x14ac:dyDescent="0.25">
      <c r="C26" s="23" t="s">
        <v>88</v>
      </c>
      <c r="D26" s="24" cm="1">
        <f t="array" ref="D26">KWStart(YEAR(TerminStichtag), C27)</f>
        <v>46132</v>
      </c>
      <c r="E26" s="24">
        <f>D26 + 1</f>
        <v>46133</v>
      </c>
      <c r="F26" s="24">
        <f t="shared" ref="F26" si="11">E26+1</f>
        <v>46134</v>
      </c>
      <c r="G26" s="24">
        <f t="shared" ref="G26" si="12">F26+1</f>
        <v>46135</v>
      </c>
      <c r="H26" s="24">
        <f t="shared" ref="H26" si="13">G26+1</f>
        <v>46136</v>
      </c>
      <c r="I26" s="24">
        <f t="shared" ref="I26" si="14">H26+1</f>
        <v>46137</v>
      </c>
      <c r="J26" s="24">
        <f t="shared" ref="J26" si="15">I26+1</f>
        <v>46138</v>
      </c>
      <c r="L26" s="44" t="str">
        <f>"KW " &amp; C27 &amp; " gesamt:"</f>
        <v>KW 17 gesamt:</v>
      </c>
      <c r="M26" s="46"/>
      <c r="O26" s="44" t="s">
        <v>118</v>
      </c>
      <c r="P26" s="57"/>
    </row>
    <row r="27" spans="3:16" s="17" customFormat="1" ht="15.95" customHeight="1" x14ac:dyDescent="0.25">
      <c r="C27" s="66">
        <f>C20-1</f>
        <v>17</v>
      </c>
      <c r="D27" s="25" t="str" cm="1">
        <f t="array" ref="D27:D28">TerminAnTag(TerminMitarbeiter, D26)</f>
        <v>Eigentermin</v>
      </c>
      <c r="E27" s="25" t="str" cm="1">
        <f t="array" ref="E27">TerminAnTag(TerminMitarbeiter, E26)</f>
        <v/>
      </c>
      <c r="F27" s="25" t="str" cm="1">
        <f t="array" ref="F27:F28">TerminAnTag(TerminMitarbeiter, F26)</f>
        <v>Alt-KB</v>
      </c>
      <c r="G27" s="25" t="str" cm="1">
        <f t="array" ref="G27">TerminAnTag(TerminMitarbeiter, G26)</f>
        <v>Neu (AP)</v>
      </c>
      <c r="H27" s="25" t="str" cm="1">
        <f t="array" ref="H27">TerminAnTag(TerminMitarbeiter, H26)</f>
        <v>Bestand (IE)</v>
      </c>
      <c r="I27" s="76" t="str" cm="1">
        <f t="array" ref="I27">TerminAnTag(TerminMitarbeiter, I26)</f>
        <v/>
      </c>
      <c r="J27" s="76" t="str" cm="1">
        <f t="array" ref="J27">TerminAnTag(TerminMitarbeiter, J26)</f>
        <v/>
      </c>
      <c r="K27" s="18"/>
      <c r="L27" s="28" t="s">
        <v>80</v>
      </c>
      <c r="M27" s="29">
        <f>SUM(D31:J31)</f>
        <v>6</v>
      </c>
      <c r="O27" s="54" t="s">
        <v>115</v>
      </c>
      <c r="P27" s="58">
        <f>COUNTIFS(tblAngebote[Art], O27, tblAngebote[Mitarbeiter], TerminMitarbeiter, tblAngebote[Datum], "&gt;=" &amp; D26, tblAngebote[Datum], "&lt;=" &amp; J26)</f>
        <v>2</v>
      </c>
    </row>
    <row r="28" spans="3:16" s="17" customFormat="1" ht="15.95" customHeight="1" x14ac:dyDescent="0.25">
      <c r="C28" s="72"/>
      <c r="D28" s="67" t="str">
        <v>Bestand</v>
      </c>
      <c r="E28" s="25"/>
      <c r="F28" s="25" t="str">
        <v>Bestand (IE)</v>
      </c>
      <c r="G28" s="25"/>
      <c r="H28" s="25"/>
      <c r="I28" s="76"/>
      <c r="J28" s="76"/>
      <c r="L28" s="28" t="s">
        <v>94</v>
      </c>
      <c r="M28" s="29">
        <f>COUNTIF(D27:J30, "Urlaub")</f>
        <v>0</v>
      </c>
      <c r="O28" s="54" t="s">
        <v>116</v>
      </c>
      <c r="P28" s="58">
        <f>COUNTIFS(tblAngebote[Art], O28, tblAngebote[Mitarbeiter], TerminMitarbeiter, tblAngebote[Datum], "&gt;=" &amp; D26, tblAngebote[Datum], "&lt;=" &amp; J26)</f>
        <v>0</v>
      </c>
    </row>
    <row r="29" spans="3:16" s="17" customFormat="1" ht="15.95" customHeight="1" x14ac:dyDescent="0.25">
      <c r="C29" s="73"/>
      <c r="D29" s="67"/>
      <c r="E29" s="25"/>
      <c r="F29" s="25"/>
      <c r="G29" s="25"/>
      <c r="H29" s="25"/>
      <c r="I29" s="76"/>
      <c r="J29" s="76"/>
      <c r="L29" s="28" t="s">
        <v>95</v>
      </c>
      <c r="M29" s="29">
        <f>COUNTIF(D27:J30, "Feiertag")</f>
        <v>0</v>
      </c>
      <c r="O29" s="54" t="s">
        <v>117</v>
      </c>
      <c r="P29" s="58">
        <f>COUNTIFS(tblAngebote[Art], O29, tblAngebote[Mitarbeiter], TerminMitarbeiter, tblAngebote[Datum], "&gt;=" &amp; D26, tblAngebote[Datum], "&lt;=" &amp; J26)</f>
        <v>0</v>
      </c>
    </row>
    <row r="30" spans="3:16" s="17" customFormat="1" ht="15.95" customHeight="1" x14ac:dyDescent="0.25">
      <c r="C30" s="73"/>
      <c r="D30" s="67"/>
      <c r="E30" s="25"/>
      <c r="F30" s="25"/>
      <c r="G30" s="25"/>
      <c r="H30" s="25"/>
      <c r="I30" s="76"/>
      <c r="J30" s="76"/>
      <c r="L30" s="28" t="s">
        <v>93</v>
      </c>
      <c r="M30" s="29">
        <f>5-M29-M28</f>
        <v>5</v>
      </c>
      <c r="P30" s="18"/>
    </row>
    <row r="31" spans="3:16" s="17" customFormat="1" ht="15.95" customHeight="1" x14ac:dyDescent="0.25">
      <c r="C31" s="75"/>
      <c r="D31" s="68" cm="1">
        <f t="array" ref="D31">ANZAHLTERMINE(D27:D30)</f>
        <v>2</v>
      </c>
      <c r="E31" s="26" cm="1">
        <f t="array" ref="E31">ANZAHLTERMINE(E27:E30)</f>
        <v>0</v>
      </c>
      <c r="F31" s="26" cm="1">
        <f t="array" ref="F31">ANZAHLTERMINE(F27:F30)</f>
        <v>2</v>
      </c>
      <c r="G31" s="26" cm="1">
        <f t="array" ref="G31">ANZAHLTERMINE(G27:G30)</f>
        <v>1</v>
      </c>
      <c r="H31" s="26" cm="1">
        <f t="array" ref="H31">ANZAHLTERMINE(H27:H30)</f>
        <v>1</v>
      </c>
      <c r="I31" s="26" cm="1">
        <f t="array" ref="I31">ANZAHLTERMINE(I27:I30)</f>
        <v>0</v>
      </c>
      <c r="J31" s="26" cm="1">
        <f t="array" ref="J31">ANZAHLTERMINE(J27:J30)</f>
        <v>0</v>
      </c>
      <c r="L31" s="28" t="s">
        <v>137</v>
      </c>
      <c r="M31" s="82">
        <f>IF(M30=0,"",M27/M30)</f>
        <v>1.2</v>
      </c>
      <c r="P31" s="18"/>
    </row>
    <row r="32" spans="3:16" s="17" customFormat="1" ht="15" customHeight="1" x14ac:dyDescent="0.25">
      <c r="D32" s="18"/>
      <c r="E32" s="18"/>
      <c r="F32" s="18"/>
      <c r="G32" s="18"/>
      <c r="H32" s="18"/>
      <c r="I32" s="18"/>
      <c r="J32" s="18"/>
      <c r="P32" s="18"/>
    </row>
    <row r="33" spans="1:18" s="17" customFormat="1" ht="15" customHeight="1" x14ac:dyDescent="0.25">
      <c r="D33" s="18"/>
      <c r="E33" s="18"/>
      <c r="F33" s="18"/>
      <c r="G33" s="18"/>
      <c r="H33" s="18"/>
      <c r="I33" s="18"/>
      <c r="J33" s="18"/>
      <c r="M33" s="22"/>
      <c r="P33" s="18"/>
    </row>
    <row r="34" spans="1:18" s="17" customFormat="1" ht="15" customHeight="1" x14ac:dyDescent="0.25">
      <c r="D34" s="18"/>
      <c r="E34" s="18"/>
      <c r="F34" s="18"/>
      <c r="G34" s="18"/>
      <c r="H34" s="18"/>
      <c r="I34" s="18"/>
      <c r="J34" s="18"/>
      <c r="M34" s="22"/>
      <c r="P34" s="18"/>
    </row>
    <row r="35" spans="1:18" s="17" customFormat="1" x14ac:dyDescent="0.25">
      <c r="A35" s="14"/>
      <c r="B35" s="14"/>
      <c r="C35" s="14"/>
      <c r="D35" s="15"/>
      <c r="E35" s="15"/>
      <c r="F35" s="15"/>
      <c r="G35" s="15"/>
      <c r="H35" s="15"/>
      <c r="I35" s="15"/>
      <c r="J35" s="15"/>
      <c r="K35" s="18"/>
      <c r="M35" s="22"/>
      <c r="P35" s="18"/>
    </row>
    <row r="36" spans="1:18" s="17" customFormat="1" x14ac:dyDescent="0.25">
      <c r="A36" s="14"/>
      <c r="B36" s="14"/>
      <c r="C36" s="14"/>
      <c r="D36" s="15"/>
      <c r="E36" s="15"/>
      <c r="F36" s="15"/>
      <c r="G36" s="15"/>
      <c r="H36" s="15"/>
      <c r="I36" s="15"/>
      <c r="J36" s="15"/>
      <c r="L36" s="14"/>
      <c r="M36" s="21"/>
      <c r="N36" s="14"/>
      <c r="O36" s="14"/>
      <c r="P36" s="15"/>
      <c r="Q36" s="14"/>
    </row>
    <row r="37" spans="1:18" s="17" customFormat="1" x14ac:dyDescent="0.25">
      <c r="A37" s="14"/>
      <c r="B37" s="14"/>
      <c r="C37" s="14"/>
      <c r="D37" s="15"/>
      <c r="E37" s="15"/>
      <c r="F37" s="15"/>
      <c r="G37" s="15"/>
      <c r="H37" s="15"/>
      <c r="I37" s="15"/>
      <c r="J37" s="15"/>
      <c r="L37" s="14"/>
      <c r="M37" s="21"/>
      <c r="N37" s="14"/>
      <c r="O37" s="14"/>
      <c r="P37" s="15"/>
      <c r="Q37" s="14"/>
    </row>
    <row r="38" spans="1:18" s="17" customFormat="1" x14ac:dyDescent="0.25">
      <c r="A38" s="14"/>
      <c r="B38" s="14"/>
      <c r="C38" s="14"/>
      <c r="D38" s="15"/>
      <c r="E38" s="15"/>
      <c r="F38" s="15"/>
      <c r="G38" s="15"/>
      <c r="H38" s="15"/>
      <c r="I38" s="15"/>
      <c r="J38" s="15"/>
      <c r="L38" s="14"/>
      <c r="M38" s="21"/>
      <c r="N38" s="14"/>
      <c r="O38" s="14"/>
      <c r="P38" s="15"/>
      <c r="Q38" s="14"/>
      <c r="R38" s="14"/>
    </row>
    <row r="39" spans="1:18" x14ac:dyDescent="0.25">
      <c r="D39" s="15"/>
      <c r="E39" s="15"/>
    </row>
    <row r="40" spans="1:18" x14ac:dyDescent="0.25">
      <c r="D40" s="15"/>
      <c r="E40" s="15"/>
    </row>
    <row r="41" spans="1:18" x14ac:dyDescent="0.25">
      <c r="D41" s="15"/>
      <c r="E41" s="15"/>
    </row>
    <row r="42" spans="1:18" x14ac:dyDescent="0.25">
      <c r="D42" s="15"/>
      <c r="E42" s="15"/>
    </row>
    <row r="43" spans="1:18" x14ac:dyDescent="0.25">
      <c r="D43" s="15"/>
      <c r="E43" s="15"/>
    </row>
    <row r="44" spans="1:18" x14ac:dyDescent="0.25">
      <c r="D44" s="15"/>
      <c r="E44" s="15"/>
    </row>
    <row r="45" spans="1:18" x14ac:dyDescent="0.25">
      <c r="D45" s="15"/>
      <c r="E45" s="15"/>
    </row>
    <row r="46" spans="1:18" x14ac:dyDescent="0.25">
      <c r="D46" s="15"/>
      <c r="E46" s="15"/>
    </row>
    <row r="47" spans="1:18" x14ac:dyDescent="0.25">
      <c r="D47" s="15"/>
      <c r="E47" s="15"/>
    </row>
    <row r="48" spans="1:18" x14ac:dyDescent="0.25">
      <c r="D48" s="15"/>
      <c r="E48" s="15"/>
    </row>
    <row r="49" spans="4:5" x14ac:dyDescent="0.25">
      <c r="D49" s="15"/>
      <c r="E49" s="15"/>
    </row>
    <row r="50" spans="4:5" x14ac:dyDescent="0.25">
      <c r="D50" s="15"/>
      <c r="E50" s="15"/>
    </row>
  </sheetData>
  <conditionalFormatting sqref="B5:B10">
    <cfRule type="expression" dxfId="29" priority="115">
      <formula>$C$6=WEEKNUM(TODAY(), 2)</formula>
    </cfRule>
  </conditionalFormatting>
  <conditionalFormatting sqref="B12:B17">
    <cfRule type="expression" dxfId="28" priority="118">
      <formula>$C$13=WEEKNUM(TODAY(), 2)</formula>
    </cfRule>
  </conditionalFormatting>
  <conditionalFormatting sqref="B19:B24">
    <cfRule type="expression" dxfId="27" priority="119">
      <formula>$C$20=WEEKNUM(TODAY(), 2)</formula>
    </cfRule>
  </conditionalFormatting>
  <conditionalFormatting sqref="D6:J9 D13:J16 D20:J23 D27:J30 D3:J3">
    <cfRule type="beginsWith" dxfId="26" priority="7" operator="beginsWith" text="Feiertag">
      <formula>LEFT(D3,LEN("Feiertag"))="Feiertag"</formula>
    </cfRule>
    <cfRule type="beginsWith" dxfId="25" priority="9" operator="beginsWith" text="Urlaub">
      <formula>LEFT(D3,LEN("Urlaub"))="Urlaub"</formula>
    </cfRule>
    <cfRule type="beginsWith" dxfId="24" priority="12" operator="beginsWith" text="Alt">
      <formula>LEFT(D3,LEN("Alt"))="Alt"</formula>
    </cfRule>
    <cfRule type="beginsWith" dxfId="23" priority="112" operator="beginsWith" text="Neu">
      <formula>LEFT(D3,LEN("Neu"))="Neu"</formula>
    </cfRule>
    <cfRule type="beginsWith" dxfId="22" priority="113" operator="beginsWith" text="Eigentermin">
      <formula>LEFT(D3,LEN("Eigentermin"))="Eigentermin"</formula>
    </cfRule>
    <cfRule type="beginsWith" dxfId="21" priority="114" operator="beginsWith" text="Bestand">
      <formula>LEFT(D3,LEN("Bestand"))="Bestand"</formula>
    </cfRule>
  </conditionalFormatting>
  <conditionalFormatting sqref="B26:B31">
    <cfRule type="expression" dxfId="20" priority="120">
      <formula>$C$27=WEEKNUM(TODAY(), 2)</formula>
    </cfRule>
  </conditionalFormatting>
  <conditionalFormatting sqref="D12:J12">
    <cfRule type="expression" dxfId="19" priority="4">
      <formula>D$12 = TODAY()</formula>
    </cfRule>
  </conditionalFormatting>
  <conditionalFormatting sqref="D5:J5">
    <cfRule type="expression" dxfId="18" priority="3">
      <formula>D$5 = TODAY()</formula>
    </cfRule>
  </conditionalFormatting>
  <conditionalFormatting sqref="D19:J19">
    <cfRule type="expression" dxfId="17" priority="5">
      <formula>D$19 = TODAY()</formula>
    </cfRule>
  </conditionalFormatting>
  <conditionalFormatting sqref="D26:J26">
    <cfRule type="expression" dxfId="16" priority="6">
      <formula>D$26 = TODAY()</formula>
    </cfRule>
  </conditionalFormatting>
  <conditionalFormatting sqref="P6:P8 P13:P15 P27:P29 P20:P22">
    <cfRule type="cellIs" dxfId="15" priority="2" operator="notEqual">
      <formula>0</formula>
    </cfRule>
  </conditionalFormatting>
  <conditionalFormatting sqref="M10 M17 M24 M31">
    <cfRule type="dataBar" priority="1">
      <dataBar>
        <cfvo type="num" val="0"/>
        <cfvo type="num" val="3"/>
        <color rgb="FF63C384"/>
      </dataBar>
      <extLst>
        <ext xmlns:x14="http://schemas.microsoft.com/office/spreadsheetml/2009/9/main" uri="{B025F937-C7B1-47D3-B67F-A62EFF666E3E}">
          <x14:id>{A21E309E-2807-4B42-B0C1-DD78BDC300F9}</x14:id>
        </ext>
      </extLst>
    </cfRule>
  </conditionalFormatting>
  <dataValidations count="1">
    <dataValidation type="list" allowBlank="1" showInputMessage="1" showErrorMessage="1" sqref="L3" xr:uid="{21A58767-9DA5-49D9-BC8B-BB25048DB2E8}">
      <formula1>VBNames</formula1>
    </dataValidation>
  </dataValidations>
  <pageMargins left="0.25" right="0.25" top="0.75" bottom="0.75" header="0.3" footer="0.3"/>
  <pageSetup paperSize="9" scale="82" orientation="landscape"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A21E309E-2807-4B42-B0C1-DD78BDC300F9}">
            <x14:dataBar minLength="0" maxLength="100" border="1" negativeBarBorderColorSameAsPositive="0">
              <x14:cfvo type="num">
                <xm:f>0</xm:f>
              </x14:cfvo>
              <x14:cfvo type="num">
                <xm:f>3</xm:f>
              </x14:cfvo>
              <x14:borderColor rgb="FF63C384"/>
              <x14:negativeFillColor rgb="FFFF0000"/>
              <x14:negativeBorderColor rgb="FFFF0000"/>
              <x14:axisColor rgb="FF000000"/>
            </x14:dataBar>
          </x14:cfRule>
          <xm:sqref>M10 M17 M24 M31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13B01-075E-4B6F-BEC3-69FAB04E98A8}">
  <sheetPr codeName="shTerminliste"/>
  <dimension ref="B1:L334"/>
  <sheetViews>
    <sheetView showGridLines="0" tabSelected="1" zoomScaleNormal="100" workbookViewId="0">
      <pane ySplit="2" topLeftCell="A42" activePane="bottomLeft" state="frozen"/>
      <selection pane="bottomLeft" activeCell="D42" sqref="D42"/>
    </sheetView>
  </sheetViews>
  <sheetFormatPr baseColWidth="10" defaultRowHeight="15" x14ac:dyDescent="0.25"/>
  <cols>
    <col min="1" max="1" width="1.625" style="1" customWidth="1"/>
    <col min="2" max="2" width="14.5" style="1" customWidth="1"/>
    <col min="3" max="3" width="18.125" style="1" customWidth="1"/>
    <col min="4" max="4" width="12.875" style="1" customWidth="1"/>
    <col min="5" max="5" width="10.875" style="1" customWidth="1"/>
    <col min="6" max="6" width="7.75" style="1" customWidth="1"/>
    <col min="7" max="7" width="13.5" style="1" customWidth="1"/>
    <col min="8" max="8" width="30.25" style="1" customWidth="1"/>
    <col min="9" max="9" width="7.5" style="1" customWidth="1"/>
    <col min="10" max="10" width="14.5" style="1" customWidth="1"/>
    <col min="11" max="11" width="20.125" style="1" bestFit="1" customWidth="1"/>
    <col min="12" max="12" width="21.375" style="1" bestFit="1" customWidth="1"/>
    <col min="13" max="16384" width="11" style="1"/>
  </cols>
  <sheetData>
    <row r="1" spans="2:12" s="50" customFormat="1" ht="98.25" customHeight="1" x14ac:dyDescent="0.25">
      <c r="B1" s="49" t="s">
        <v>80</v>
      </c>
    </row>
    <row r="2" spans="2:12" s="59" customFormat="1" ht="30" customHeight="1" x14ac:dyDescent="0.25">
      <c r="B2" s="59" t="s">
        <v>7</v>
      </c>
      <c r="C2" s="59" t="s">
        <v>0</v>
      </c>
      <c r="D2" s="59" t="s">
        <v>81</v>
      </c>
      <c r="E2" s="59" t="s">
        <v>82</v>
      </c>
      <c r="F2" s="59" t="s">
        <v>84</v>
      </c>
      <c r="G2" s="59" t="s">
        <v>83</v>
      </c>
      <c r="H2" s="59" t="s">
        <v>89</v>
      </c>
      <c r="I2" s="59" t="s">
        <v>9</v>
      </c>
      <c r="L2" s="5"/>
    </row>
    <row r="3" spans="2:12" x14ac:dyDescent="0.25">
      <c r="B3" s="60">
        <v>46122</v>
      </c>
      <c r="C3" s="61" t="s">
        <v>3</v>
      </c>
      <c r="D3" s="61" t="s">
        <v>17</v>
      </c>
      <c r="E3" s="64"/>
      <c r="F3" s="63" cm="1">
        <f t="array" ref="F3">TerminArtId(tblTermine[[#This Row],[Terminart]], tblTermine[[#This Row],[Agent]])</f>
        <v>12</v>
      </c>
      <c r="G3" s="62" t="str" cm="1">
        <f t="array" ref="G3">TerminArtDisplay(tblTermine[[#This Row],[Terminart]], tblTermine[[#This Row],[Agent]])</f>
        <v>Bestand</v>
      </c>
      <c r="H3" s="62" t="str" cm="1">
        <f t="array" ref="H3">MakeSearchTerm(tblTermine[[#This Row],[Mitarbeiter]], tblTermine[[#This Row],[Datum]])</f>
        <v>Plottek, André - 26-04-10</v>
      </c>
      <c r="I3" s="62">
        <f>YEAR(tblTermine[[#This Row],[Datum]])</f>
        <v>2026</v>
      </c>
    </row>
    <row r="4" spans="2:12" x14ac:dyDescent="0.25">
      <c r="B4" s="60">
        <v>46125</v>
      </c>
      <c r="C4" s="61" t="s">
        <v>3</v>
      </c>
      <c r="D4" s="61" t="s">
        <v>16</v>
      </c>
      <c r="E4" s="64" t="s">
        <v>85</v>
      </c>
      <c r="F4" s="63" cm="1">
        <f t="array" ref="F4">TerminArtId(tblTermine[[#This Row],[Terminart]], tblTermine[[#This Row],[Agent]])</f>
        <v>21</v>
      </c>
      <c r="G4" s="62" t="str" cm="1">
        <f t="array" ref="G4">TerminArtDisplay(tblTermine[[#This Row],[Terminart]], tblTermine[[#This Row],[Agent]])</f>
        <v>Neu (IE)</v>
      </c>
      <c r="H4" s="62" t="str" cm="1">
        <f t="array" ref="H4">MakeSearchTerm(tblTermine[[#This Row],[Mitarbeiter]], tblTermine[[#This Row],[Datum]])</f>
        <v>Plottek, André - 26-04-13</v>
      </c>
      <c r="I4" s="62">
        <f>YEAR(tblTermine[[#This Row],[Datum]])</f>
        <v>2026</v>
      </c>
    </row>
    <row r="5" spans="2:12" x14ac:dyDescent="0.25">
      <c r="B5" s="60">
        <v>46126</v>
      </c>
      <c r="C5" s="61" t="s">
        <v>3</v>
      </c>
      <c r="D5" s="61" t="s">
        <v>16</v>
      </c>
      <c r="E5" s="64" t="s">
        <v>86</v>
      </c>
      <c r="F5" s="63" cm="1">
        <f t="array" ref="F5">TerminArtId(tblTermine[[#This Row],[Terminart]], tblTermine[[#This Row],[Agent]])</f>
        <v>21</v>
      </c>
      <c r="G5" s="62" t="str" cm="1">
        <f t="array" ref="G5">TerminArtDisplay(tblTermine[[#This Row],[Terminart]], tblTermine[[#This Row],[Agent]])</f>
        <v>Neu (AP)</v>
      </c>
      <c r="H5" s="62" t="str" cm="1">
        <f t="array" ref="H5">MakeSearchTerm(tblTermine[[#This Row],[Mitarbeiter]], tblTermine[[#This Row],[Datum]])</f>
        <v>Plottek, André - 26-04-14</v>
      </c>
      <c r="I5" s="62">
        <f>YEAR(tblTermine[[#This Row],[Datum]])</f>
        <v>2026</v>
      </c>
    </row>
    <row r="6" spans="2:12" x14ac:dyDescent="0.25">
      <c r="B6" s="60">
        <v>46126</v>
      </c>
      <c r="C6" s="61" t="s">
        <v>3</v>
      </c>
      <c r="D6" s="61" t="s">
        <v>18</v>
      </c>
      <c r="E6" s="64"/>
      <c r="F6" s="63" cm="1">
        <f t="array" ref="F6">TerminArtId(tblTermine[[#This Row],[Terminart]], tblTermine[[#This Row],[Agent]])</f>
        <v>13</v>
      </c>
      <c r="G6" s="62" t="str" cm="1">
        <f t="array" ref="G6">TerminArtDisplay(tblTermine[[#This Row],[Terminart]], tblTermine[[#This Row],[Agent]])</f>
        <v>Alt-KB</v>
      </c>
      <c r="H6" s="62" t="str" cm="1">
        <f t="array" ref="H6">MakeSearchTerm(tblTermine[[#This Row],[Mitarbeiter]], tblTermine[[#This Row],[Datum]])</f>
        <v>Plottek, André - 26-04-14</v>
      </c>
      <c r="I6" s="62">
        <f>YEAR(tblTermine[[#This Row],[Datum]])</f>
        <v>2026</v>
      </c>
      <c r="K6"/>
      <c r="L6"/>
    </row>
    <row r="7" spans="2:12" x14ac:dyDescent="0.25">
      <c r="B7" s="60">
        <v>46127</v>
      </c>
      <c r="C7" s="61" t="s">
        <v>3</v>
      </c>
      <c r="D7" s="61" t="s">
        <v>18</v>
      </c>
      <c r="E7" s="64"/>
      <c r="F7" s="63" cm="1">
        <f t="array" ref="F7">TerminArtId(tblTermine[[#This Row],[Terminart]], tblTermine[[#This Row],[Agent]])</f>
        <v>13</v>
      </c>
      <c r="G7" s="62" t="str" cm="1">
        <f t="array" ref="G7">TerminArtDisplay(tblTermine[[#This Row],[Terminart]], tblTermine[[#This Row],[Agent]])</f>
        <v>Alt-KB</v>
      </c>
      <c r="H7" s="62" t="str" cm="1">
        <f t="array" ref="H7">MakeSearchTerm(tblTermine[[#This Row],[Mitarbeiter]], tblTermine[[#This Row],[Datum]])</f>
        <v>Plottek, André - 26-04-15</v>
      </c>
      <c r="I7" s="62">
        <f>YEAR(tblTermine[[#This Row],[Datum]])</f>
        <v>2026</v>
      </c>
      <c r="K7"/>
      <c r="L7"/>
    </row>
    <row r="8" spans="2:12" x14ac:dyDescent="0.25">
      <c r="B8" s="60">
        <v>46127</v>
      </c>
      <c r="C8" s="61" t="s">
        <v>3</v>
      </c>
      <c r="D8" s="61" t="s">
        <v>17</v>
      </c>
      <c r="E8" s="64"/>
      <c r="F8" s="63" cm="1">
        <f t="array" ref="F8">TerminArtId(tblTermine[[#This Row],[Terminart]], tblTermine[[#This Row],[Agent]])</f>
        <v>12</v>
      </c>
      <c r="G8" s="62" t="str" cm="1">
        <f t="array" ref="G8">TerminArtDisplay(tblTermine[[#This Row],[Terminart]], tblTermine[[#This Row],[Agent]])</f>
        <v>Bestand</v>
      </c>
      <c r="H8" s="62" t="str" cm="1">
        <f t="array" ref="H8">MakeSearchTerm(tblTermine[[#This Row],[Mitarbeiter]], tblTermine[[#This Row],[Datum]])</f>
        <v>Plottek, André - 26-04-15</v>
      </c>
      <c r="I8" s="62">
        <f>YEAR(tblTermine[[#This Row],[Datum]])</f>
        <v>2026</v>
      </c>
      <c r="K8"/>
      <c r="L8"/>
    </row>
    <row r="9" spans="2:12" x14ac:dyDescent="0.25">
      <c r="B9" s="60">
        <v>46125</v>
      </c>
      <c r="C9" s="61" t="s">
        <v>1</v>
      </c>
      <c r="D9" s="61" t="s">
        <v>16</v>
      </c>
      <c r="E9" s="64" t="s">
        <v>86</v>
      </c>
      <c r="F9" s="63" cm="1">
        <f t="array" ref="F9">TerminArtId(tblTermine[[#This Row],[Terminart]], tblTermine[[#This Row],[Agent]])</f>
        <v>21</v>
      </c>
      <c r="G9" s="62" t="str" cm="1">
        <f t="array" ref="G9">TerminArtDisplay(tblTermine[[#This Row],[Terminart]], tblTermine[[#This Row],[Agent]])</f>
        <v>Neu (AP)</v>
      </c>
      <c r="H9" s="62" t="str" cm="1">
        <f t="array" ref="H9">MakeSearchTerm(tblTermine[[#This Row],[Mitarbeiter]], tblTermine[[#This Row],[Datum]])</f>
        <v>Lehrmann, Marcel - 26-04-13</v>
      </c>
      <c r="I9" s="62">
        <f>YEAR(tblTermine[[#This Row],[Datum]])</f>
        <v>2026</v>
      </c>
      <c r="K9"/>
      <c r="L9"/>
    </row>
    <row r="10" spans="2:12" x14ac:dyDescent="0.25">
      <c r="B10" s="60">
        <v>46126</v>
      </c>
      <c r="C10" s="61" t="s">
        <v>1</v>
      </c>
      <c r="D10" s="61" t="s">
        <v>17</v>
      </c>
      <c r="E10" s="64" t="s">
        <v>85</v>
      </c>
      <c r="F10" s="63" cm="1">
        <f t="array" ref="F10">TerminArtId(tblTermine[[#This Row],[Terminart]], tblTermine[[#This Row],[Agent]])</f>
        <v>22</v>
      </c>
      <c r="G10" s="62" t="str" cm="1">
        <f t="array" ref="G10">TerminArtDisplay(tblTermine[[#This Row],[Terminart]], tblTermine[[#This Row],[Agent]])</f>
        <v>Bestand (IE)</v>
      </c>
      <c r="H10" s="62" t="str" cm="1">
        <f t="array" ref="H10">MakeSearchTerm(tblTermine[[#This Row],[Mitarbeiter]], tblTermine[[#This Row],[Datum]])</f>
        <v>Lehrmann, Marcel - 26-04-14</v>
      </c>
      <c r="I10" s="62">
        <f>YEAR(tblTermine[[#This Row],[Datum]])</f>
        <v>2026</v>
      </c>
      <c r="K10"/>
      <c r="L10"/>
    </row>
    <row r="11" spans="2:12" x14ac:dyDescent="0.25">
      <c r="B11" s="60">
        <v>46128</v>
      </c>
      <c r="C11" s="61" t="s">
        <v>3</v>
      </c>
      <c r="D11" s="61" t="s">
        <v>18</v>
      </c>
      <c r="E11" s="64" t="s">
        <v>87</v>
      </c>
      <c r="F11" s="63" cm="1">
        <f t="array" ref="F11">TerminArtId(tblTermine[[#This Row],[Terminart]], tblTermine[[#This Row],[Agent]])</f>
        <v>23</v>
      </c>
      <c r="G11" s="62" t="str" cm="1">
        <f t="array" ref="G11">TerminArtDisplay(tblTermine[[#This Row],[Terminart]], tblTermine[[#This Row],[Agent]])</f>
        <v>Alt-KB (ZZ)</v>
      </c>
      <c r="H11" s="62" t="str" cm="1">
        <f t="array" ref="H11">MakeSearchTerm(tblTermine[[#This Row],[Mitarbeiter]], tblTermine[[#This Row],[Datum]])</f>
        <v>Plottek, André - 26-04-16</v>
      </c>
      <c r="I11" s="62">
        <f>YEAR(tblTermine[[#This Row],[Datum]])</f>
        <v>2026</v>
      </c>
      <c r="K11"/>
      <c r="L11"/>
    </row>
    <row r="12" spans="2:12" x14ac:dyDescent="0.25">
      <c r="B12" s="60">
        <v>46128</v>
      </c>
      <c r="C12" s="61" t="s">
        <v>3</v>
      </c>
      <c r="D12" s="61" t="s">
        <v>16</v>
      </c>
      <c r="E12" s="64"/>
      <c r="F12" s="63" cm="1">
        <f t="array" ref="F12">TerminArtId(tblTermine[[#This Row],[Terminart]], tblTermine[[#This Row],[Agent]])</f>
        <v>11</v>
      </c>
      <c r="G12" s="62" t="str" cm="1">
        <f t="array" ref="G12">TerminArtDisplay(tblTermine[[#This Row],[Terminart]], tblTermine[[#This Row],[Agent]])</f>
        <v>Eigentermin</v>
      </c>
      <c r="H12" s="62" t="str" cm="1">
        <f t="array" ref="H12">MakeSearchTerm(tblTermine[[#This Row],[Mitarbeiter]], tblTermine[[#This Row],[Datum]])</f>
        <v>Plottek, André - 26-04-16</v>
      </c>
      <c r="I12" s="62">
        <f>YEAR(tblTermine[[#This Row],[Datum]])</f>
        <v>2026</v>
      </c>
      <c r="K12"/>
      <c r="L12"/>
    </row>
    <row r="13" spans="2:12" x14ac:dyDescent="0.25">
      <c r="B13" s="60">
        <v>46127</v>
      </c>
      <c r="C13" s="61" t="s">
        <v>1</v>
      </c>
      <c r="D13" s="61" t="s">
        <v>16</v>
      </c>
      <c r="E13" s="64" t="s">
        <v>87</v>
      </c>
      <c r="F13" s="63" cm="1">
        <f t="array" ref="F13">TerminArtId(tblTermine[[#This Row],[Terminart]], tblTermine[[#This Row],[Agent]])</f>
        <v>21</v>
      </c>
      <c r="G13" s="62" t="str" cm="1">
        <f t="array" ref="G13">TerminArtDisplay(tblTermine[[#This Row],[Terminart]], tblTermine[[#This Row],[Agent]])</f>
        <v>Neu (ZZ)</v>
      </c>
      <c r="H13" s="62" t="str" cm="1">
        <f t="array" ref="H13">MakeSearchTerm(tblTermine[[#This Row],[Mitarbeiter]], tblTermine[[#This Row],[Datum]])</f>
        <v>Lehrmann, Marcel - 26-04-15</v>
      </c>
      <c r="I13" s="62">
        <f>YEAR(tblTermine[[#This Row],[Datum]])</f>
        <v>2026</v>
      </c>
      <c r="K13"/>
      <c r="L13"/>
    </row>
    <row r="14" spans="2:12" x14ac:dyDescent="0.25">
      <c r="B14" s="60">
        <v>46129</v>
      </c>
      <c r="C14" s="61" t="s">
        <v>3</v>
      </c>
      <c r="D14" s="61" t="s">
        <v>17</v>
      </c>
      <c r="E14" s="64" t="s">
        <v>85</v>
      </c>
      <c r="F14" s="63" cm="1">
        <f t="array" ref="F14">TerminArtId(tblTermine[[#This Row],[Terminart]], tblTermine[[#This Row],[Agent]])</f>
        <v>22</v>
      </c>
      <c r="G14" s="62" t="str" cm="1">
        <f t="array" ref="G14">TerminArtDisplay(tblTermine[[#This Row],[Terminart]], tblTermine[[#This Row],[Agent]])</f>
        <v>Bestand (IE)</v>
      </c>
      <c r="H14" s="62" t="str" cm="1">
        <f t="array" ref="H14">MakeSearchTerm(tblTermine[[#This Row],[Mitarbeiter]], tblTermine[[#This Row],[Datum]])</f>
        <v>Plottek, André - 26-04-17</v>
      </c>
      <c r="I14" s="62">
        <f>YEAR(tblTermine[[#This Row],[Datum]])</f>
        <v>2026</v>
      </c>
      <c r="K14"/>
      <c r="L14"/>
    </row>
    <row r="15" spans="2:12" x14ac:dyDescent="0.25">
      <c r="B15" s="60">
        <v>46128</v>
      </c>
      <c r="C15" s="61" t="s">
        <v>1</v>
      </c>
      <c r="D15" s="61" t="s">
        <v>16</v>
      </c>
      <c r="E15" s="64"/>
      <c r="F15" s="63" cm="1">
        <f t="array" ref="F15">TerminArtId(tblTermine[[#This Row],[Terminart]], tblTermine[[#This Row],[Agent]])</f>
        <v>11</v>
      </c>
      <c r="G15" s="62" t="str" cm="1">
        <f t="array" ref="G15">TerminArtDisplay(tblTermine[[#This Row],[Terminart]], tblTermine[[#This Row],[Agent]])</f>
        <v>Eigentermin</v>
      </c>
      <c r="H15" s="62" t="str" cm="1">
        <f t="array" ref="H15">MakeSearchTerm(tblTermine[[#This Row],[Mitarbeiter]], tblTermine[[#This Row],[Datum]])</f>
        <v>Lehrmann, Marcel - 26-04-16</v>
      </c>
      <c r="I15" s="62">
        <f>YEAR(tblTermine[[#This Row],[Datum]])</f>
        <v>2026</v>
      </c>
      <c r="K15"/>
      <c r="L15"/>
    </row>
    <row r="16" spans="2:12" x14ac:dyDescent="0.25">
      <c r="B16" s="60">
        <v>46128</v>
      </c>
      <c r="C16" s="61" t="s">
        <v>1</v>
      </c>
      <c r="D16" s="61" t="s">
        <v>17</v>
      </c>
      <c r="E16" s="64"/>
      <c r="F16" s="63" cm="1">
        <f t="array" ref="F16">TerminArtId(tblTermine[[#This Row],[Terminart]], tblTermine[[#This Row],[Agent]])</f>
        <v>12</v>
      </c>
      <c r="G16" s="62" t="str" cm="1">
        <f t="array" ref="G16">TerminArtDisplay(tblTermine[[#This Row],[Terminart]], tblTermine[[#This Row],[Agent]])</f>
        <v>Bestand</v>
      </c>
      <c r="H16" s="62" t="str" cm="1">
        <f t="array" ref="H16">MakeSearchTerm(tblTermine[[#This Row],[Mitarbeiter]], tblTermine[[#This Row],[Datum]])</f>
        <v>Lehrmann, Marcel - 26-04-16</v>
      </c>
      <c r="I16" s="62">
        <f>YEAR(tblTermine[[#This Row],[Datum]])</f>
        <v>2026</v>
      </c>
      <c r="K16"/>
      <c r="L16"/>
    </row>
    <row r="17" spans="2:12" x14ac:dyDescent="0.25">
      <c r="B17" s="60">
        <v>46129</v>
      </c>
      <c r="C17" s="61" t="s">
        <v>1</v>
      </c>
      <c r="D17" s="61" t="s">
        <v>17</v>
      </c>
      <c r="E17" s="64"/>
      <c r="F17" s="63" cm="1">
        <f t="array" ref="F17">TerminArtId(tblTermine[[#This Row],[Terminart]], tblTermine[[#This Row],[Agent]])</f>
        <v>12</v>
      </c>
      <c r="G17" s="62" t="str" cm="1">
        <f t="array" ref="G17">TerminArtDisplay(tblTermine[[#This Row],[Terminart]], tblTermine[[#This Row],[Agent]])</f>
        <v>Bestand</v>
      </c>
      <c r="H17" s="62" t="str" cm="1">
        <f t="array" ref="H17">MakeSearchTerm(tblTermine[[#This Row],[Mitarbeiter]], tblTermine[[#This Row],[Datum]])</f>
        <v>Lehrmann, Marcel - 26-04-17</v>
      </c>
      <c r="I17" s="62">
        <f>YEAR(tblTermine[[#This Row],[Datum]])</f>
        <v>2026</v>
      </c>
      <c r="K17"/>
      <c r="L17"/>
    </row>
    <row r="18" spans="2:12" x14ac:dyDescent="0.25">
      <c r="B18" s="60">
        <v>46132</v>
      </c>
      <c r="C18" s="61" t="s">
        <v>1</v>
      </c>
      <c r="D18" s="61" t="s">
        <v>16</v>
      </c>
      <c r="E18" s="64"/>
      <c r="F18" s="63" cm="1">
        <f t="array" ref="F18">TerminArtId(tblTermine[[#This Row],[Terminart]], tblTermine[[#This Row],[Agent]])</f>
        <v>11</v>
      </c>
      <c r="G18" s="62" t="str" cm="1">
        <f t="array" ref="G18">TerminArtDisplay(tblTermine[[#This Row],[Terminart]], tblTermine[[#This Row],[Agent]])</f>
        <v>Eigentermin</v>
      </c>
      <c r="H18" s="62" t="str" cm="1">
        <f t="array" ref="H18">MakeSearchTerm(tblTermine[[#This Row],[Mitarbeiter]], tblTermine[[#This Row],[Datum]])</f>
        <v>Lehrmann, Marcel - 26-04-20</v>
      </c>
      <c r="I18" s="62">
        <f>YEAR(tblTermine[[#This Row],[Datum]])</f>
        <v>2026</v>
      </c>
      <c r="K18"/>
      <c r="L18"/>
    </row>
    <row r="19" spans="2:12" x14ac:dyDescent="0.25">
      <c r="B19" s="60">
        <v>46132</v>
      </c>
      <c r="C19" s="61" t="s">
        <v>1</v>
      </c>
      <c r="D19" s="61" t="s">
        <v>17</v>
      </c>
      <c r="E19" s="64"/>
      <c r="F19" s="63" cm="1">
        <f t="array" ref="F19">TerminArtId(tblTermine[[#This Row],[Terminart]], tblTermine[[#This Row],[Agent]])</f>
        <v>12</v>
      </c>
      <c r="G19" s="62" t="str" cm="1">
        <f t="array" ref="G19">TerminArtDisplay(tblTermine[[#This Row],[Terminart]], tblTermine[[#This Row],[Agent]])</f>
        <v>Bestand</v>
      </c>
      <c r="H19" s="62" t="str" cm="1">
        <f t="array" ref="H19">MakeSearchTerm(tblTermine[[#This Row],[Mitarbeiter]], tblTermine[[#This Row],[Datum]])</f>
        <v>Lehrmann, Marcel - 26-04-20</v>
      </c>
      <c r="I19" s="62">
        <f>YEAR(tblTermine[[#This Row],[Datum]])</f>
        <v>2026</v>
      </c>
      <c r="K19"/>
      <c r="L19"/>
    </row>
    <row r="20" spans="2:12" x14ac:dyDescent="0.25">
      <c r="B20" s="60">
        <v>46132</v>
      </c>
      <c r="C20" s="61" t="s">
        <v>3</v>
      </c>
      <c r="D20" s="61" t="s">
        <v>16</v>
      </c>
      <c r="E20" s="64" t="s">
        <v>87</v>
      </c>
      <c r="F20" s="63" cm="1">
        <f t="array" ref="F20">TerminArtId(tblTermine[[#This Row],[Terminart]], tblTermine[[#This Row],[Agent]])</f>
        <v>21</v>
      </c>
      <c r="G20" s="62" t="str" cm="1">
        <f t="array" ref="G20">TerminArtDisplay(tblTermine[[#This Row],[Terminart]], tblTermine[[#This Row],[Agent]])</f>
        <v>Neu (ZZ)</v>
      </c>
      <c r="H20" s="62" t="str" cm="1">
        <f t="array" ref="H20">MakeSearchTerm(tblTermine[[#This Row],[Mitarbeiter]], tblTermine[[#This Row],[Datum]])</f>
        <v>Plottek, André - 26-04-20</v>
      </c>
      <c r="I20" s="62">
        <f>YEAR(tblTermine[[#This Row],[Datum]])</f>
        <v>2026</v>
      </c>
      <c r="K20"/>
      <c r="L20"/>
    </row>
    <row r="21" spans="2:12" x14ac:dyDescent="0.25">
      <c r="B21" s="60">
        <v>46132</v>
      </c>
      <c r="C21" s="61" t="s">
        <v>3</v>
      </c>
      <c r="D21" s="61" t="s">
        <v>16</v>
      </c>
      <c r="E21" s="64"/>
      <c r="F21" s="63" cm="1">
        <f t="array" ref="F21">TerminArtId(tblTermine[[#This Row],[Terminart]], tblTermine[[#This Row],[Agent]])</f>
        <v>11</v>
      </c>
      <c r="G21" s="62" t="str" cm="1">
        <f t="array" ref="G21">TerminArtDisplay(tblTermine[[#This Row],[Terminart]], tblTermine[[#This Row],[Agent]])</f>
        <v>Eigentermin</v>
      </c>
      <c r="H21" s="62" t="str" cm="1">
        <f t="array" ref="H21">MakeSearchTerm(tblTermine[[#This Row],[Mitarbeiter]], tblTermine[[#This Row],[Datum]])</f>
        <v>Plottek, André - 26-04-20</v>
      </c>
      <c r="I21" s="62">
        <f>YEAR(tblTermine[[#This Row],[Datum]])</f>
        <v>2026</v>
      </c>
      <c r="K21"/>
      <c r="L21"/>
    </row>
    <row r="22" spans="2:12" x14ac:dyDescent="0.25">
      <c r="B22" s="60">
        <v>46134</v>
      </c>
      <c r="C22" s="61" t="s">
        <v>1</v>
      </c>
      <c r="D22" s="61" t="s">
        <v>18</v>
      </c>
      <c r="E22" s="64"/>
      <c r="F22" s="63" cm="1">
        <f t="array" ref="F22">TerminArtId(tblTermine[[#This Row],[Terminart]], tblTermine[[#This Row],[Agent]])</f>
        <v>13</v>
      </c>
      <c r="G22" s="62" t="str" cm="1">
        <f t="array" ref="G22">TerminArtDisplay(tblTermine[[#This Row],[Terminart]], tblTermine[[#This Row],[Agent]])</f>
        <v>Alt-KB</v>
      </c>
      <c r="H22" s="62" t="str" cm="1">
        <f t="array" ref="H22">MakeSearchTerm(tblTermine[[#This Row],[Mitarbeiter]], tblTermine[[#This Row],[Datum]])</f>
        <v>Lehrmann, Marcel - 26-04-22</v>
      </c>
      <c r="I22" s="62">
        <f>YEAR(tblTermine[[#This Row],[Datum]])</f>
        <v>2026</v>
      </c>
      <c r="K22"/>
      <c r="L22"/>
    </row>
    <row r="23" spans="2:12" x14ac:dyDescent="0.25">
      <c r="B23" s="60">
        <v>46134</v>
      </c>
      <c r="C23" s="61" t="s">
        <v>1</v>
      </c>
      <c r="D23" s="61" t="s">
        <v>17</v>
      </c>
      <c r="E23" s="64" t="s">
        <v>85</v>
      </c>
      <c r="F23" s="63" cm="1">
        <f t="array" ref="F23">TerminArtId(tblTermine[[#This Row],[Terminart]], tblTermine[[#This Row],[Agent]])</f>
        <v>22</v>
      </c>
      <c r="G23" s="62" t="str" cm="1">
        <f t="array" ref="G23">TerminArtDisplay(tblTermine[[#This Row],[Terminart]], tblTermine[[#This Row],[Agent]])</f>
        <v>Bestand (IE)</v>
      </c>
      <c r="H23" s="62" t="str" cm="1">
        <f t="array" ref="H23">MakeSearchTerm(tblTermine[[#This Row],[Mitarbeiter]], tblTermine[[#This Row],[Datum]])</f>
        <v>Lehrmann, Marcel - 26-04-22</v>
      </c>
      <c r="I23" s="62">
        <f>YEAR(tblTermine[[#This Row],[Datum]])</f>
        <v>2026</v>
      </c>
      <c r="K23"/>
      <c r="L23"/>
    </row>
    <row r="24" spans="2:12" x14ac:dyDescent="0.25">
      <c r="B24" s="60">
        <v>46134</v>
      </c>
      <c r="C24" s="61" t="s">
        <v>3</v>
      </c>
      <c r="D24" s="61" t="s">
        <v>18</v>
      </c>
      <c r="E24" s="64" t="s">
        <v>86</v>
      </c>
      <c r="F24" s="63" cm="1">
        <f t="array" ref="F24">TerminArtId(tblTermine[[#This Row],[Terminart]], tblTermine[[#This Row],[Agent]])</f>
        <v>23</v>
      </c>
      <c r="G24" s="62" t="str" cm="1">
        <f t="array" ref="G24">TerminArtDisplay(tblTermine[[#This Row],[Terminart]], tblTermine[[#This Row],[Agent]])</f>
        <v>Alt-KB (AP)</v>
      </c>
      <c r="H24" s="62" t="str" cm="1">
        <f t="array" ref="H24">MakeSearchTerm(tblTermine[[#This Row],[Mitarbeiter]], tblTermine[[#This Row],[Datum]])</f>
        <v>Plottek, André - 26-04-22</v>
      </c>
      <c r="I24" s="62">
        <f>YEAR(tblTermine[[#This Row],[Datum]])</f>
        <v>2026</v>
      </c>
    </row>
    <row r="25" spans="2:12" x14ac:dyDescent="0.25">
      <c r="B25" s="60">
        <v>46134</v>
      </c>
      <c r="C25" s="61" t="s">
        <v>3</v>
      </c>
      <c r="D25" s="61" t="s">
        <v>17</v>
      </c>
      <c r="E25" s="64" t="s">
        <v>85</v>
      </c>
      <c r="F25" s="63" cm="1">
        <f t="array" ref="F25">TerminArtId(tblTermine[[#This Row],[Terminart]], tblTermine[[#This Row],[Agent]])</f>
        <v>22</v>
      </c>
      <c r="G25" s="62" t="str" cm="1">
        <f t="array" ref="G25">TerminArtDisplay(tblTermine[[#This Row],[Terminart]], tblTermine[[#This Row],[Agent]])</f>
        <v>Bestand (IE)</v>
      </c>
      <c r="H25" s="62" t="str" cm="1">
        <f t="array" ref="H25">MakeSearchTerm(tblTermine[[#This Row],[Mitarbeiter]], tblTermine[[#This Row],[Datum]])</f>
        <v>Plottek, André - 26-04-22</v>
      </c>
      <c r="I25" s="62">
        <f>YEAR(tblTermine[[#This Row],[Datum]])</f>
        <v>2026</v>
      </c>
    </row>
    <row r="26" spans="2:12" x14ac:dyDescent="0.25">
      <c r="B26" s="60">
        <v>46135</v>
      </c>
      <c r="C26" s="61" t="s">
        <v>1</v>
      </c>
      <c r="D26" s="61" t="s">
        <v>16</v>
      </c>
      <c r="E26" s="64" t="s">
        <v>86</v>
      </c>
      <c r="F26" s="63" cm="1">
        <f t="array" ref="F26">TerminArtId(tblTermine[[#This Row],[Terminart]], tblTermine[[#This Row],[Agent]])</f>
        <v>21</v>
      </c>
      <c r="G26" s="62" t="str" cm="1">
        <f t="array" ref="G26">TerminArtDisplay(tblTermine[[#This Row],[Terminart]], tblTermine[[#This Row],[Agent]])</f>
        <v>Neu (AP)</v>
      </c>
      <c r="H26" s="62" t="str" cm="1">
        <f t="array" ref="H26">MakeSearchTerm(tblTermine[[#This Row],[Mitarbeiter]], tblTermine[[#This Row],[Datum]])</f>
        <v>Lehrmann, Marcel - 26-04-23</v>
      </c>
      <c r="I26" s="62">
        <f>YEAR(tblTermine[[#This Row],[Datum]])</f>
        <v>2026</v>
      </c>
    </row>
    <row r="27" spans="2:12" x14ac:dyDescent="0.25">
      <c r="B27" s="60">
        <v>46135</v>
      </c>
      <c r="C27" s="61" t="s">
        <v>3</v>
      </c>
      <c r="D27" s="61" t="s">
        <v>17</v>
      </c>
      <c r="E27" s="64"/>
      <c r="F27" s="63" cm="1">
        <f t="array" ref="F27">TerminArtId(tblTermine[[#This Row],[Terminart]], tblTermine[[#This Row],[Agent]])</f>
        <v>12</v>
      </c>
      <c r="G27" s="62" t="str" cm="1">
        <f t="array" ref="G27">TerminArtDisplay(tblTermine[[#This Row],[Terminart]], tblTermine[[#This Row],[Agent]])</f>
        <v>Bestand</v>
      </c>
      <c r="H27" s="62" t="str" cm="1">
        <f t="array" ref="H27">MakeSearchTerm(tblTermine[[#This Row],[Mitarbeiter]], tblTermine[[#This Row],[Datum]])</f>
        <v>Plottek, André - 26-04-23</v>
      </c>
      <c r="I27" s="62">
        <f>YEAR(tblTermine[[#This Row],[Datum]])</f>
        <v>2026</v>
      </c>
    </row>
    <row r="28" spans="2:12" x14ac:dyDescent="0.25">
      <c r="B28" s="60">
        <v>46136</v>
      </c>
      <c r="C28" s="61" t="s">
        <v>1</v>
      </c>
      <c r="D28" s="61" t="s">
        <v>17</v>
      </c>
      <c r="E28" s="64" t="s">
        <v>85</v>
      </c>
      <c r="F28" s="63" cm="1">
        <f t="array" ref="F28">TerminArtId(tblTermine[[#This Row],[Terminart]], tblTermine[[#This Row],[Agent]])</f>
        <v>22</v>
      </c>
      <c r="G28" s="62" t="str" cm="1">
        <f t="array" ref="G28">TerminArtDisplay(tblTermine[[#This Row],[Terminart]], tblTermine[[#This Row],[Agent]])</f>
        <v>Bestand (IE)</v>
      </c>
      <c r="H28" s="62" t="str" cm="1">
        <f t="array" ref="H28">MakeSearchTerm(tblTermine[[#This Row],[Mitarbeiter]], tblTermine[[#This Row],[Datum]])</f>
        <v>Lehrmann, Marcel - 26-04-24</v>
      </c>
      <c r="I28" s="62">
        <f>YEAR(tblTermine[[#This Row],[Datum]])</f>
        <v>2026</v>
      </c>
    </row>
    <row r="29" spans="2:12" x14ac:dyDescent="0.25">
      <c r="B29" s="60">
        <v>46136</v>
      </c>
      <c r="C29" s="61" t="s">
        <v>3</v>
      </c>
      <c r="D29" s="61" t="s">
        <v>17</v>
      </c>
      <c r="E29" s="64"/>
      <c r="F29" s="63" cm="1">
        <f t="array" ref="F29">TerminArtId(tblTermine[[#This Row],[Terminart]], tblTermine[[#This Row],[Agent]])</f>
        <v>12</v>
      </c>
      <c r="G29" s="62" t="str" cm="1">
        <f t="array" ref="G29">TerminArtDisplay(tblTermine[[#This Row],[Terminart]], tblTermine[[#This Row],[Agent]])</f>
        <v>Bestand</v>
      </c>
      <c r="H29" s="62" t="str" cm="1">
        <f t="array" ref="H29">MakeSearchTerm(tblTermine[[#This Row],[Mitarbeiter]], tblTermine[[#This Row],[Datum]])</f>
        <v>Plottek, André - 26-04-24</v>
      </c>
      <c r="I29" s="62">
        <f>YEAR(tblTermine[[#This Row],[Datum]])</f>
        <v>2026</v>
      </c>
    </row>
    <row r="30" spans="2:12" x14ac:dyDescent="0.25">
      <c r="B30" s="60">
        <v>46139</v>
      </c>
      <c r="C30" s="61" t="s">
        <v>1</v>
      </c>
      <c r="D30" s="61" t="s">
        <v>18</v>
      </c>
      <c r="E30" s="64" t="s">
        <v>87</v>
      </c>
      <c r="F30" s="63" cm="1">
        <f t="array" ref="F30">TerminArtId(tblTermine[[#This Row],[Terminart]], tblTermine[[#This Row],[Agent]])</f>
        <v>23</v>
      </c>
      <c r="G30" s="62" t="str" cm="1">
        <f t="array" ref="G30">TerminArtDisplay(tblTermine[[#This Row],[Terminart]], tblTermine[[#This Row],[Agent]])</f>
        <v>Alt-KB (ZZ)</v>
      </c>
      <c r="H30" s="62" t="str" cm="1">
        <f t="array" ref="H30">MakeSearchTerm(tblTermine[[#This Row],[Mitarbeiter]], tblTermine[[#This Row],[Datum]])</f>
        <v>Lehrmann, Marcel - 26-04-27</v>
      </c>
      <c r="I30" s="62">
        <f>YEAR(tblTermine[[#This Row],[Datum]])</f>
        <v>2026</v>
      </c>
    </row>
    <row r="31" spans="2:12" x14ac:dyDescent="0.25">
      <c r="B31" s="60">
        <v>46139</v>
      </c>
      <c r="C31" s="61" t="s">
        <v>3</v>
      </c>
      <c r="D31" s="61" t="s">
        <v>16</v>
      </c>
      <c r="E31" s="64"/>
      <c r="F31" s="63" cm="1">
        <f t="array" ref="F31">TerminArtId(tblTermine[[#This Row],[Terminart]], tblTermine[[#This Row],[Agent]])</f>
        <v>11</v>
      </c>
      <c r="G31" s="62" t="str" cm="1">
        <f t="array" ref="G31">TerminArtDisplay(tblTermine[[#This Row],[Terminart]], tblTermine[[#This Row],[Agent]])</f>
        <v>Eigentermin</v>
      </c>
      <c r="H31" s="62" t="str" cm="1">
        <f t="array" ref="H31">MakeSearchTerm(tblTermine[[#This Row],[Mitarbeiter]], tblTermine[[#This Row],[Datum]])</f>
        <v>Plottek, André - 26-04-27</v>
      </c>
      <c r="I31" s="62">
        <f>YEAR(tblTermine[[#This Row],[Datum]])</f>
        <v>2026</v>
      </c>
    </row>
    <row r="32" spans="2:12" x14ac:dyDescent="0.25">
      <c r="B32" s="60">
        <v>46140</v>
      </c>
      <c r="C32" s="61" t="s">
        <v>1</v>
      </c>
      <c r="D32" s="61" t="s">
        <v>16</v>
      </c>
      <c r="E32" s="64"/>
      <c r="F32" s="63" cm="1">
        <f t="array" ref="F32">TerminArtId(tblTermine[[#This Row],[Terminart]], tblTermine[[#This Row],[Agent]])</f>
        <v>11</v>
      </c>
      <c r="G32" s="62" t="str" cm="1">
        <f t="array" ref="G32">TerminArtDisplay(tblTermine[[#This Row],[Terminart]], tblTermine[[#This Row],[Agent]])</f>
        <v>Eigentermin</v>
      </c>
      <c r="H32" s="62" t="str" cm="1">
        <f t="array" ref="H32">MakeSearchTerm(tblTermine[[#This Row],[Mitarbeiter]], tblTermine[[#This Row],[Datum]])</f>
        <v>Lehrmann, Marcel - 26-04-28</v>
      </c>
      <c r="I32" s="62">
        <f>YEAR(tblTermine[[#This Row],[Datum]])</f>
        <v>2026</v>
      </c>
    </row>
    <row r="33" spans="2:9" x14ac:dyDescent="0.25">
      <c r="B33" s="60">
        <v>46140</v>
      </c>
      <c r="C33" s="61" t="s">
        <v>1</v>
      </c>
      <c r="D33" s="61" t="s">
        <v>18</v>
      </c>
      <c r="E33" s="64"/>
      <c r="F33" s="63" cm="1">
        <f t="array" ref="F33">TerminArtId(tblTermine[[#This Row],[Terminart]], tblTermine[[#This Row],[Agent]])</f>
        <v>13</v>
      </c>
      <c r="G33" s="62" t="str" cm="1">
        <f t="array" ref="G33">TerminArtDisplay(tblTermine[[#This Row],[Terminart]], tblTermine[[#This Row],[Agent]])</f>
        <v>Alt-KB</v>
      </c>
      <c r="H33" s="62" t="str" cm="1">
        <f t="array" ref="H33">MakeSearchTerm(tblTermine[[#This Row],[Mitarbeiter]], tblTermine[[#This Row],[Datum]])</f>
        <v>Lehrmann, Marcel - 26-04-28</v>
      </c>
      <c r="I33" s="62">
        <f>YEAR(tblTermine[[#This Row],[Datum]])</f>
        <v>2026</v>
      </c>
    </row>
    <row r="34" spans="2:9" x14ac:dyDescent="0.25">
      <c r="B34" s="60">
        <v>46141</v>
      </c>
      <c r="C34" s="61" t="s">
        <v>3</v>
      </c>
      <c r="D34" s="61" t="s">
        <v>17</v>
      </c>
      <c r="E34" s="64" t="s">
        <v>85</v>
      </c>
      <c r="F34" s="63" cm="1">
        <f t="array" ref="F34">TerminArtId(tblTermine[[#This Row],[Terminart]], tblTermine[[#This Row],[Agent]])</f>
        <v>22</v>
      </c>
      <c r="G34" s="62" t="str" cm="1">
        <f t="array" ref="G34">TerminArtDisplay(tblTermine[[#This Row],[Terminart]], tblTermine[[#This Row],[Agent]])</f>
        <v>Bestand (IE)</v>
      </c>
      <c r="H34" s="62" t="str" cm="1">
        <f t="array" ref="H34">MakeSearchTerm(tblTermine[[#This Row],[Mitarbeiter]], tblTermine[[#This Row],[Datum]])</f>
        <v>Plottek, André - 26-04-29</v>
      </c>
      <c r="I34" s="62">
        <f>YEAR(tblTermine[[#This Row],[Datum]])</f>
        <v>2026</v>
      </c>
    </row>
    <row r="35" spans="2:9" x14ac:dyDescent="0.25">
      <c r="B35" s="60">
        <v>46141</v>
      </c>
      <c r="C35" s="61" t="s">
        <v>1</v>
      </c>
      <c r="D35" s="61" t="s">
        <v>17</v>
      </c>
      <c r="E35" s="64"/>
      <c r="F35" s="63" cm="1">
        <f t="array" ref="F35">TerminArtId(tblTermine[[#This Row],[Terminart]], tblTermine[[#This Row],[Agent]])</f>
        <v>12</v>
      </c>
      <c r="G35" s="62" t="str" cm="1">
        <f t="array" ref="G35">TerminArtDisplay(tblTermine[[#This Row],[Terminart]], tblTermine[[#This Row],[Agent]])</f>
        <v>Bestand</v>
      </c>
      <c r="H35" s="62" t="str" cm="1">
        <f t="array" ref="H35">MakeSearchTerm(tblTermine[[#This Row],[Mitarbeiter]], tblTermine[[#This Row],[Datum]])</f>
        <v>Lehrmann, Marcel - 26-04-29</v>
      </c>
      <c r="I35" s="62">
        <f>YEAR(tblTermine[[#This Row],[Datum]])</f>
        <v>2026</v>
      </c>
    </row>
    <row r="36" spans="2:9" x14ac:dyDescent="0.25">
      <c r="B36" s="60">
        <v>46142</v>
      </c>
      <c r="C36" s="61" t="s">
        <v>3</v>
      </c>
      <c r="D36" s="61" t="s">
        <v>16</v>
      </c>
      <c r="E36" s="64" t="s">
        <v>86</v>
      </c>
      <c r="F36" s="63" cm="1">
        <f t="array" ref="F36">TerminArtId(tblTermine[[#This Row],[Terminart]], tblTermine[[#This Row],[Agent]])</f>
        <v>21</v>
      </c>
      <c r="G36" s="62" t="str" cm="1">
        <f t="array" ref="G36">TerminArtDisplay(tblTermine[[#This Row],[Terminart]], tblTermine[[#This Row],[Agent]])</f>
        <v>Neu (AP)</v>
      </c>
      <c r="H36" s="62" t="str" cm="1">
        <f t="array" ref="H36">MakeSearchTerm(tblTermine[[#This Row],[Mitarbeiter]], tblTermine[[#This Row],[Datum]])</f>
        <v>Plottek, André - 26-04-30</v>
      </c>
      <c r="I36" s="62">
        <f>YEAR(tblTermine[[#This Row],[Datum]])</f>
        <v>2026</v>
      </c>
    </row>
    <row r="37" spans="2:9" x14ac:dyDescent="0.25">
      <c r="B37" s="60">
        <v>46142</v>
      </c>
      <c r="C37" s="61" t="s">
        <v>1</v>
      </c>
      <c r="D37" s="61" t="s">
        <v>18</v>
      </c>
      <c r="E37" s="64"/>
      <c r="F37" s="63" cm="1">
        <f t="array" ref="F37">TerminArtId(tblTermine[[#This Row],[Terminart]], tblTermine[[#This Row],[Agent]])</f>
        <v>13</v>
      </c>
      <c r="G37" s="62" t="str" cm="1">
        <f t="array" ref="G37">TerminArtDisplay(tblTermine[[#This Row],[Terminart]], tblTermine[[#This Row],[Agent]])</f>
        <v>Alt-KB</v>
      </c>
      <c r="H37" s="62" t="str" cm="1">
        <f t="array" ref="H37">MakeSearchTerm(tblTermine[[#This Row],[Mitarbeiter]], tblTermine[[#This Row],[Datum]])</f>
        <v>Lehrmann, Marcel - 26-04-30</v>
      </c>
      <c r="I37" s="62">
        <f>YEAR(tblTermine[[#This Row],[Datum]])</f>
        <v>2026</v>
      </c>
    </row>
    <row r="38" spans="2:9" x14ac:dyDescent="0.25">
      <c r="B38" s="60">
        <v>46153</v>
      </c>
      <c r="C38" s="61" t="s">
        <v>1</v>
      </c>
      <c r="D38" s="61" t="s">
        <v>18</v>
      </c>
      <c r="E38" s="64" t="s">
        <v>86</v>
      </c>
      <c r="F38" s="63" cm="1">
        <f t="array" ref="F38">TerminArtId(tblTermine[[#This Row],[Terminart]], tblTermine[[#This Row],[Agent]])</f>
        <v>23</v>
      </c>
      <c r="G38" s="62" t="str" cm="1">
        <f t="array" ref="G38">TerminArtDisplay(tblTermine[[#This Row],[Terminart]], tblTermine[[#This Row],[Agent]])</f>
        <v>Alt-KB (AP)</v>
      </c>
      <c r="H38" s="62" t="str" cm="1">
        <f t="array" ref="H38">MakeSearchTerm(tblTermine[[#This Row],[Mitarbeiter]], tblTermine[[#This Row],[Datum]])</f>
        <v>Lehrmann, Marcel - 26-05-11</v>
      </c>
      <c r="I38" s="62">
        <f>YEAR(tblTermine[[#This Row],[Datum]])</f>
        <v>2026</v>
      </c>
    </row>
    <row r="39" spans="2:9" x14ac:dyDescent="0.25">
      <c r="B39" s="60">
        <v>46146</v>
      </c>
      <c r="C39" s="61" t="s">
        <v>1</v>
      </c>
      <c r="D39" s="61" t="s">
        <v>91</v>
      </c>
      <c r="E39" s="64"/>
      <c r="F39" s="63" cm="1">
        <f t="array" ref="F39">TerminArtId(tblTermine[[#This Row],[Terminart]], tblTermine[[#This Row],[Agent]])</f>
        <v>31</v>
      </c>
      <c r="G39" s="62" t="str" cm="1">
        <f t="array" ref="G39">TerminArtDisplay(tblTermine[[#This Row],[Terminart]], tblTermine[[#This Row],[Agent]])</f>
        <v>Urlaub</v>
      </c>
      <c r="H39" s="62" t="str" cm="1">
        <f t="array" ref="H39">MakeSearchTerm(tblTermine[[#This Row],[Mitarbeiter]], tblTermine[[#This Row],[Datum]])</f>
        <v>Lehrmann, Marcel - 26-05-04</v>
      </c>
      <c r="I39" s="62">
        <f>YEAR(tblTermine[[#This Row],[Datum]])</f>
        <v>2026</v>
      </c>
    </row>
    <row r="40" spans="2:9" x14ac:dyDescent="0.25">
      <c r="B40" s="60">
        <v>46147</v>
      </c>
      <c r="C40" s="61" t="s">
        <v>1</v>
      </c>
      <c r="D40" s="61" t="s">
        <v>91</v>
      </c>
      <c r="E40" s="64"/>
      <c r="F40" s="63" cm="1">
        <f t="array" ref="F40">TerminArtId(tblTermine[[#This Row],[Terminart]], tblTermine[[#This Row],[Agent]])</f>
        <v>31</v>
      </c>
      <c r="G40" s="62" t="str" cm="1">
        <f t="array" ref="G40">TerminArtDisplay(tblTermine[[#This Row],[Terminart]], tblTermine[[#This Row],[Agent]])</f>
        <v>Urlaub</v>
      </c>
      <c r="H40" s="62" t="str" cm="1">
        <f t="array" ref="H40">MakeSearchTerm(tblTermine[[#This Row],[Mitarbeiter]], tblTermine[[#This Row],[Datum]])</f>
        <v>Lehrmann, Marcel - 26-05-05</v>
      </c>
      <c r="I40" s="62">
        <f>YEAR(tblTermine[[#This Row],[Datum]])</f>
        <v>2026</v>
      </c>
    </row>
    <row r="41" spans="2:9" x14ac:dyDescent="0.25">
      <c r="B41" s="60">
        <v>46139</v>
      </c>
      <c r="C41" s="61" t="s">
        <v>3</v>
      </c>
      <c r="D41" s="61" t="s">
        <v>16</v>
      </c>
      <c r="E41" s="64" t="s">
        <v>85</v>
      </c>
      <c r="F41" s="63" cm="1">
        <f t="array" ref="F41">TerminArtId(tblTermine[[#This Row],[Terminart]], tblTermine[[#This Row],[Agent]])</f>
        <v>21</v>
      </c>
      <c r="G41" s="62" t="str" cm="1">
        <f t="array" ref="G41">TerminArtDisplay(tblTermine[[#This Row],[Terminart]], tblTermine[[#This Row],[Agent]])</f>
        <v>Neu (IE)</v>
      </c>
      <c r="H41" s="62" t="str" cm="1">
        <f t="array" ref="H41">MakeSearchTerm(tblTermine[[#This Row],[Mitarbeiter]], tblTermine[[#This Row],[Datum]])</f>
        <v>Plottek, André - 26-04-27</v>
      </c>
      <c r="I41" s="62">
        <f>YEAR(tblTermine[[#This Row],[Datum]])</f>
        <v>2026</v>
      </c>
    </row>
    <row r="42" spans="2:9" x14ac:dyDescent="0.25">
      <c r="B42" s="60">
        <v>46140</v>
      </c>
      <c r="C42" s="61" t="s">
        <v>3</v>
      </c>
      <c r="D42" s="61" t="s">
        <v>91</v>
      </c>
      <c r="E42" s="64"/>
      <c r="F42" s="63" cm="1">
        <f t="array" ref="F42">TerminArtId(tblTermine[[#This Row],[Terminart]], tblTermine[[#This Row],[Agent]])</f>
        <v>31</v>
      </c>
      <c r="G42" s="62" t="str" cm="1">
        <f t="array" ref="G42">TerminArtDisplay(tblTermine[[#This Row],[Terminart]], tblTermine[[#This Row],[Agent]])</f>
        <v>Urlaub</v>
      </c>
      <c r="H42" s="62" t="str" cm="1">
        <f t="array" ref="H42">MakeSearchTerm(tblTermine[[#This Row],[Mitarbeiter]], tblTermine[[#This Row],[Datum]])</f>
        <v>Plottek, André - 26-04-28</v>
      </c>
      <c r="I42" s="62">
        <f>YEAR(tblTermine[[#This Row],[Datum]])</f>
        <v>2026</v>
      </c>
    </row>
    <row r="43" spans="2:9" x14ac:dyDescent="0.25">
      <c r="B43" s="60">
        <v>46139</v>
      </c>
      <c r="C43" s="61" t="s">
        <v>4</v>
      </c>
      <c r="D43" s="61" t="s">
        <v>18</v>
      </c>
      <c r="E43" s="64"/>
      <c r="F43" s="63" cm="1">
        <f t="array" ref="F43">TerminArtId(tblTermine[[#This Row],[Terminart]], tblTermine[[#This Row],[Agent]])</f>
        <v>13</v>
      </c>
      <c r="G43" s="62" t="str" cm="1">
        <f t="array" ref="G43">TerminArtDisplay(tblTermine[[#This Row],[Terminart]], tblTermine[[#This Row],[Agent]])</f>
        <v>Alt-KB</v>
      </c>
      <c r="H43" s="62" t="str" cm="1">
        <f t="array" ref="H43">MakeSearchTerm(tblTermine[[#This Row],[Mitarbeiter]], tblTermine[[#This Row],[Datum]])</f>
        <v>Schweitzer, Sven - 26-04-27</v>
      </c>
      <c r="I43" s="62">
        <f>YEAR(tblTermine[[#This Row],[Datum]])</f>
        <v>2026</v>
      </c>
    </row>
    <row r="44" spans="2:9" x14ac:dyDescent="0.25">
      <c r="B44" s="60">
        <v>46148</v>
      </c>
      <c r="C44" s="61" t="s">
        <v>1</v>
      </c>
      <c r="D44" s="61" t="s">
        <v>91</v>
      </c>
      <c r="E44" s="64"/>
      <c r="F44" s="63" cm="1">
        <f t="array" ref="F44">TerminArtId(tblTermine[[#This Row],[Terminart]], tblTermine[[#This Row],[Agent]])</f>
        <v>31</v>
      </c>
      <c r="G44" s="62" t="str" cm="1">
        <f t="array" ref="G44">TerminArtDisplay(tblTermine[[#This Row],[Terminart]], tblTermine[[#This Row],[Agent]])</f>
        <v>Urlaub</v>
      </c>
      <c r="H44" s="62" t="str" cm="1">
        <f t="array" ref="H44">MakeSearchTerm(tblTermine[[#This Row],[Mitarbeiter]], tblTermine[[#This Row],[Datum]])</f>
        <v>Lehrmann, Marcel - 26-05-06</v>
      </c>
      <c r="I44" s="62">
        <f>YEAR(tblTermine[[#This Row],[Datum]])</f>
        <v>2026</v>
      </c>
    </row>
    <row r="45" spans="2:9" x14ac:dyDescent="0.25">
      <c r="B45" s="60">
        <v>46149</v>
      </c>
      <c r="C45" s="61" t="s">
        <v>1</v>
      </c>
      <c r="D45" s="61" t="s">
        <v>91</v>
      </c>
      <c r="E45" s="64"/>
      <c r="F45" s="63" cm="1">
        <f t="array" ref="F45">TerminArtId(tblTermine[[#This Row],[Terminart]], tblTermine[[#This Row],[Agent]])</f>
        <v>31</v>
      </c>
      <c r="G45" s="62" t="str" cm="1">
        <f t="array" ref="G45">TerminArtDisplay(tblTermine[[#This Row],[Terminart]], tblTermine[[#This Row],[Agent]])</f>
        <v>Urlaub</v>
      </c>
      <c r="H45" s="62" t="str" cm="1">
        <f t="array" ref="H45">MakeSearchTerm(tblTermine[[#This Row],[Mitarbeiter]], tblTermine[[#This Row],[Datum]])</f>
        <v>Lehrmann, Marcel - 26-05-07</v>
      </c>
      <c r="I45" s="62">
        <f>YEAR(tblTermine[[#This Row],[Datum]])</f>
        <v>2026</v>
      </c>
    </row>
    <row r="46" spans="2:9" x14ac:dyDescent="0.25">
      <c r="B46" s="60">
        <v>46150</v>
      </c>
      <c r="C46" s="61" t="s">
        <v>1</v>
      </c>
      <c r="D46" s="61" t="s">
        <v>91</v>
      </c>
      <c r="E46" s="64"/>
      <c r="F46" s="63" cm="1">
        <f t="array" ref="F46">TerminArtId(tblTermine[[#This Row],[Terminart]], tblTermine[[#This Row],[Agent]])</f>
        <v>31</v>
      </c>
      <c r="G46" s="62" t="str" cm="1">
        <f t="array" ref="G46">TerminArtDisplay(tblTermine[[#This Row],[Terminart]], tblTermine[[#This Row],[Agent]])</f>
        <v>Urlaub</v>
      </c>
      <c r="H46" s="62" t="str" cm="1">
        <f t="array" ref="H46">MakeSearchTerm(tblTermine[[#This Row],[Mitarbeiter]], tblTermine[[#This Row],[Datum]])</f>
        <v>Lehrmann, Marcel - 26-05-08</v>
      </c>
      <c r="I46" s="62">
        <f>YEAR(tblTermine[[#This Row],[Datum]])</f>
        <v>2026</v>
      </c>
    </row>
    <row r="47" spans="2:9" x14ac:dyDescent="0.25">
      <c r="B47" s="60">
        <v>46157</v>
      </c>
      <c r="C47" s="61" t="s">
        <v>1</v>
      </c>
      <c r="D47" s="61" t="s">
        <v>91</v>
      </c>
      <c r="E47" s="64"/>
      <c r="F47" s="63" cm="1">
        <f t="array" ref="F47">TerminArtId(tblTermine[[#This Row],[Terminart]], tblTermine[[#This Row],[Agent]])</f>
        <v>31</v>
      </c>
      <c r="G47" s="62" t="str" cm="1">
        <f t="array" ref="G47">TerminArtDisplay(tblTermine[[#This Row],[Terminart]], tblTermine[[#This Row],[Agent]])</f>
        <v>Urlaub</v>
      </c>
      <c r="H47" s="62" t="str" cm="1">
        <f t="array" ref="H47">MakeSearchTerm(tblTermine[[#This Row],[Mitarbeiter]], tblTermine[[#This Row],[Datum]])</f>
        <v>Lehrmann, Marcel - 26-05-15</v>
      </c>
      <c r="I47" s="62">
        <f>YEAR(tblTermine[[#This Row],[Datum]])</f>
        <v>2026</v>
      </c>
    </row>
    <row r="48" spans="2:9" x14ac:dyDescent="0.25">
      <c r="B48" s="60">
        <v>46023</v>
      </c>
      <c r="C48" s="61" t="s">
        <v>6</v>
      </c>
      <c r="D48" s="61" t="s">
        <v>16</v>
      </c>
      <c r="E48" s="64"/>
      <c r="F48" s="63" cm="1">
        <f t="array" ref="F48">TerminArtId(tblTermine[[#This Row],[Terminart]], tblTermine[[#This Row],[Agent]])</f>
        <v>11</v>
      </c>
      <c r="G48" s="62" t="str" cm="1">
        <f t="array" ref="G48">TerminArtDisplay(tblTermine[[#This Row],[Terminart]], tblTermine[[#This Row],[Agent]])</f>
        <v>Eigentermin</v>
      </c>
      <c r="H48" s="62" t="str" cm="1">
        <f t="array" ref="H48">MakeSearchTerm(tblTermine[[#This Row],[Mitarbeiter]], tblTermine[[#This Row],[Datum]])</f>
        <v>Weber, Joelle - 26-01-01</v>
      </c>
      <c r="I48" s="62">
        <f>YEAR(tblTermine[[#This Row],[Datum]])</f>
        <v>2026</v>
      </c>
    </row>
    <row r="49" spans="2:9" x14ac:dyDescent="0.25">
      <c r="B49" s="60">
        <v>45658</v>
      </c>
      <c r="C49" s="61" t="s">
        <v>1</v>
      </c>
      <c r="D49" s="61" t="s">
        <v>92</v>
      </c>
      <c r="E49" s="64"/>
      <c r="F49" s="63" cm="1">
        <f t="array" ref="F49">TerminArtId(tblTermine[[#This Row],[Terminart]], tblTermine[[#This Row],[Agent]])</f>
        <v>32</v>
      </c>
      <c r="G49" s="81" t="str" cm="1">
        <f t="array" ref="G49">TerminArtDisplay(tblTermine[[#This Row],[Terminart]], tblTermine[[#This Row],[Agent]])</f>
        <v>Feiertag</v>
      </c>
      <c r="H49" s="81" t="str" cm="1">
        <f t="array" ref="H49">MakeSearchTerm(tblTermine[[#This Row],[Mitarbeiter]], tblTermine[[#This Row],[Datum]])</f>
        <v>Lehrmann, Marcel - 25-01-01</v>
      </c>
      <c r="I49" s="81">
        <f>YEAR(tblTermine[[#This Row],[Datum]])</f>
        <v>2025</v>
      </c>
    </row>
    <row r="50" spans="2:9" x14ac:dyDescent="0.25">
      <c r="B50" s="60">
        <v>46023</v>
      </c>
      <c r="C50" s="61" t="s">
        <v>1</v>
      </c>
      <c r="D50" s="61" t="s">
        <v>92</v>
      </c>
      <c r="E50" s="64"/>
      <c r="F50" s="63" cm="1">
        <f t="array" ref="F50">TerminArtId(tblTermine[[#This Row],[Terminart]], tblTermine[[#This Row],[Agent]])</f>
        <v>32</v>
      </c>
      <c r="G50" s="81" t="str" cm="1">
        <f t="array" ref="G50">TerminArtDisplay(tblTermine[[#This Row],[Terminart]], tblTermine[[#This Row],[Agent]])</f>
        <v>Feiertag</v>
      </c>
      <c r="H50" s="81" t="str" cm="1">
        <f t="array" ref="H50">MakeSearchTerm(tblTermine[[#This Row],[Mitarbeiter]], tblTermine[[#This Row],[Datum]])</f>
        <v>Lehrmann, Marcel - 26-01-01</v>
      </c>
      <c r="I50" s="81">
        <f>YEAR(tblTermine[[#This Row],[Datum]])</f>
        <v>2026</v>
      </c>
    </row>
    <row r="51" spans="2:9" x14ac:dyDescent="0.25">
      <c r="B51" s="60">
        <v>46388</v>
      </c>
      <c r="C51" s="61" t="s">
        <v>1</v>
      </c>
      <c r="D51" s="61" t="s">
        <v>92</v>
      </c>
      <c r="E51" s="64"/>
      <c r="F51" s="63" cm="1">
        <f t="array" ref="F51">TerminArtId(tblTermine[[#This Row],[Terminart]], tblTermine[[#This Row],[Agent]])</f>
        <v>32</v>
      </c>
      <c r="G51" s="81" t="str" cm="1">
        <f t="array" ref="G51">TerminArtDisplay(tblTermine[[#This Row],[Terminart]], tblTermine[[#This Row],[Agent]])</f>
        <v>Feiertag</v>
      </c>
      <c r="H51" s="81" t="str" cm="1">
        <f t="array" ref="H51">MakeSearchTerm(tblTermine[[#This Row],[Mitarbeiter]], tblTermine[[#This Row],[Datum]])</f>
        <v>Lehrmann, Marcel - 27-01-01</v>
      </c>
      <c r="I51" s="81">
        <f>YEAR(tblTermine[[#This Row],[Datum]])</f>
        <v>2027</v>
      </c>
    </row>
    <row r="52" spans="2:9" x14ac:dyDescent="0.25">
      <c r="B52" s="60">
        <v>47119</v>
      </c>
      <c r="C52" s="61" t="s">
        <v>1</v>
      </c>
      <c r="D52" s="61" t="s">
        <v>92</v>
      </c>
      <c r="E52" s="64"/>
      <c r="F52" s="63" cm="1">
        <f t="array" ref="F52">TerminArtId(tblTermine[[#This Row],[Terminart]], tblTermine[[#This Row],[Agent]])</f>
        <v>32</v>
      </c>
      <c r="G52" s="81" t="str" cm="1">
        <f t="array" ref="G52">TerminArtDisplay(tblTermine[[#This Row],[Terminart]], tblTermine[[#This Row],[Agent]])</f>
        <v>Feiertag</v>
      </c>
      <c r="H52" s="81" t="str" cm="1">
        <f t="array" ref="H52">MakeSearchTerm(tblTermine[[#This Row],[Mitarbeiter]], tblTermine[[#This Row],[Datum]])</f>
        <v>Lehrmann, Marcel - 29-01-01</v>
      </c>
      <c r="I52" s="81">
        <f>YEAR(tblTermine[[#This Row],[Datum]])</f>
        <v>2029</v>
      </c>
    </row>
    <row r="53" spans="2:9" x14ac:dyDescent="0.25">
      <c r="B53" s="60">
        <v>47484</v>
      </c>
      <c r="C53" s="61" t="s">
        <v>1</v>
      </c>
      <c r="D53" s="61" t="s">
        <v>92</v>
      </c>
      <c r="E53" s="64"/>
      <c r="F53" s="63" cm="1">
        <f t="array" ref="F53">TerminArtId(tblTermine[[#This Row],[Terminart]], tblTermine[[#This Row],[Agent]])</f>
        <v>32</v>
      </c>
      <c r="G53" s="81" t="str" cm="1">
        <f t="array" ref="G53">TerminArtDisplay(tblTermine[[#This Row],[Terminart]], tblTermine[[#This Row],[Agent]])</f>
        <v>Feiertag</v>
      </c>
      <c r="H53" s="81" t="str" cm="1">
        <f t="array" ref="H53">MakeSearchTerm(tblTermine[[#This Row],[Mitarbeiter]], tblTermine[[#This Row],[Datum]])</f>
        <v>Lehrmann, Marcel - 30-01-01</v>
      </c>
      <c r="I53" s="81">
        <f>YEAR(tblTermine[[#This Row],[Datum]])</f>
        <v>2030</v>
      </c>
    </row>
    <row r="54" spans="2:9" x14ac:dyDescent="0.25">
      <c r="B54" s="60">
        <v>47849</v>
      </c>
      <c r="C54" s="61" t="s">
        <v>1</v>
      </c>
      <c r="D54" s="61" t="s">
        <v>92</v>
      </c>
      <c r="E54" s="64"/>
      <c r="F54" s="63" cm="1">
        <f t="array" ref="F54">TerminArtId(tblTermine[[#This Row],[Terminart]], tblTermine[[#This Row],[Agent]])</f>
        <v>32</v>
      </c>
      <c r="G54" s="81" t="str" cm="1">
        <f t="array" ref="G54">TerminArtDisplay(tblTermine[[#This Row],[Terminart]], tblTermine[[#This Row],[Agent]])</f>
        <v>Feiertag</v>
      </c>
      <c r="H54" s="81" t="str" cm="1">
        <f t="array" ref="H54">MakeSearchTerm(tblTermine[[#This Row],[Mitarbeiter]], tblTermine[[#This Row],[Datum]])</f>
        <v>Lehrmann, Marcel - 31-01-01</v>
      </c>
      <c r="I54" s="81">
        <f>YEAR(tblTermine[[#This Row],[Datum]])</f>
        <v>2031</v>
      </c>
    </row>
    <row r="55" spans="2:9" x14ac:dyDescent="0.25">
      <c r="B55" s="60">
        <v>48214</v>
      </c>
      <c r="C55" s="61" t="s">
        <v>1</v>
      </c>
      <c r="D55" s="61" t="s">
        <v>92</v>
      </c>
      <c r="E55" s="64"/>
      <c r="F55" s="63" cm="1">
        <f t="array" ref="F55">TerminArtId(tblTermine[[#This Row],[Terminart]], tblTermine[[#This Row],[Agent]])</f>
        <v>32</v>
      </c>
      <c r="G55" s="81" t="str" cm="1">
        <f t="array" ref="G55">TerminArtDisplay(tblTermine[[#This Row],[Terminart]], tblTermine[[#This Row],[Agent]])</f>
        <v>Feiertag</v>
      </c>
      <c r="H55" s="81" t="str" cm="1">
        <f t="array" ref="H55">MakeSearchTerm(tblTermine[[#This Row],[Mitarbeiter]], tblTermine[[#This Row],[Datum]])</f>
        <v>Lehrmann, Marcel - 32-01-01</v>
      </c>
      <c r="I55" s="81">
        <f>YEAR(tblTermine[[#This Row],[Datum]])</f>
        <v>2032</v>
      </c>
    </row>
    <row r="56" spans="2:9" x14ac:dyDescent="0.25">
      <c r="B56" s="60">
        <v>45658</v>
      </c>
      <c r="C56" s="61" t="s">
        <v>3</v>
      </c>
      <c r="D56" s="61" t="s">
        <v>92</v>
      </c>
      <c r="E56" s="64"/>
      <c r="F56" s="63" cm="1">
        <f t="array" ref="F56">TerminArtId(tblTermine[[#This Row],[Terminart]], tblTermine[[#This Row],[Agent]])</f>
        <v>32</v>
      </c>
      <c r="G56" s="81" t="str" cm="1">
        <f t="array" ref="G56">TerminArtDisplay(tblTermine[[#This Row],[Terminart]], tblTermine[[#This Row],[Agent]])</f>
        <v>Feiertag</v>
      </c>
      <c r="H56" s="81" t="str" cm="1">
        <f t="array" ref="H56">MakeSearchTerm(tblTermine[[#This Row],[Mitarbeiter]], tblTermine[[#This Row],[Datum]])</f>
        <v>Plottek, André - 25-01-01</v>
      </c>
      <c r="I56" s="81">
        <f>YEAR(tblTermine[[#This Row],[Datum]])</f>
        <v>2025</v>
      </c>
    </row>
    <row r="57" spans="2:9" x14ac:dyDescent="0.25">
      <c r="B57" s="60">
        <v>46023</v>
      </c>
      <c r="C57" s="61" t="s">
        <v>3</v>
      </c>
      <c r="D57" s="61" t="s">
        <v>92</v>
      </c>
      <c r="E57" s="64"/>
      <c r="F57" s="63" cm="1">
        <f t="array" ref="F57">TerminArtId(tblTermine[[#This Row],[Terminart]], tblTermine[[#This Row],[Agent]])</f>
        <v>32</v>
      </c>
      <c r="G57" s="81" t="str" cm="1">
        <f t="array" ref="G57">TerminArtDisplay(tblTermine[[#This Row],[Terminart]], tblTermine[[#This Row],[Agent]])</f>
        <v>Feiertag</v>
      </c>
      <c r="H57" s="81" t="str" cm="1">
        <f t="array" ref="H57">MakeSearchTerm(tblTermine[[#This Row],[Mitarbeiter]], tblTermine[[#This Row],[Datum]])</f>
        <v>Plottek, André - 26-01-01</v>
      </c>
      <c r="I57" s="81">
        <f>YEAR(tblTermine[[#This Row],[Datum]])</f>
        <v>2026</v>
      </c>
    </row>
    <row r="58" spans="2:9" x14ac:dyDescent="0.25">
      <c r="B58" s="60">
        <v>46388</v>
      </c>
      <c r="C58" s="61" t="s">
        <v>3</v>
      </c>
      <c r="D58" s="61" t="s">
        <v>92</v>
      </c>
      <c r="E58" s="64"/>
      <c r="F58" s="63" cm="1">
        <f t="array" ref="F58">TerminArtId(tblTermine[[#This Row],[Terminart]], tblTermine[[#This Row],[Agent]])</f>
        <v>32</v>
      </c>
      <c r="G58" s="81" t="str" cm="1">
        <f t="array" ref="G58">TerminArtDisplay(tblTermine[[#This Row],[Terminart]], tblTermine[[#This Row],[Agent]])</f>
        <v>Feiertag</v>
      </c>
      <c r="H58" s="81" t="str" cm="1">
        <f t="array" ref="H58">MakeSearchTerm(tblTermine[[#This Row],[Mitarbeiter]], tblTermine[[#This Row],[Datum]])</f>
        <v>Plottek, André - 27-01-01</v>
      </c>
      <c r="I58" s="81">
        <f>YEAR(tblTermine[[#This Row],[Datum]])</f>
        <v>2027</v>
      </c>
    </row>
    <row r="59" spans="2:9" x14ac:dyDescent="0.25">
      <c r="B59" s="60">
        <v>47119</v>
      </c>
      <c r="C59" s="61" t="s">
        <v>3</v>
      </c>
      <c r="D59" s="61" t="s">
        <v>92</v>
      </c>
      <c r="E59" s="64"/>
      <c r="F59" s="63" cm="1">
        <f t="array" ref="F59">TerminArtId(tblTermine[[#This Row],[Terminart]], tblTermine[[#This Row],[Agent]])</f>
        <v>32</v>
      </c>
      <c r="G59" s="81" t="str" cm="1">
        <f t="array" ref="G59">TerminArtDisplay(tblTermine[[#This Row],[Terminart]], tblTermine[[#This Row],[Agent]])</f>
        <v>Feiertag</v>
      </c>
      <c r="H59" s="81" t="str" cm="1">
        <f t="array" ref="H59">MakeSearchTerm(tblTermine[[#This Row],[Mitarbeiter]], tblTermine[[#This Row],[Datum]])</f>
        <v>Plottek, André - 29-01-01</v>
      </c>
      <c r="I59" s="81">
        <f>YEAR(tblTermine[[#This Row],[Datum]])</f>
        <v>2029</v>
      </c>
    </row>
    <row r="60" spans="2:9" x14ac:dyDescent="0.25">
      <c r="B60" s="60">
        <v>47484</v>
      </c>
      <c r="C60" s="61" t="s">
        <v>3</v>
      </c>
      <c r="D60" s="61" t="s">
        <v>92</v>
      </c>
      <c r="E60" s="64"/>
      <c r="F60" s="63" cm="1">
        <f t="array" ref="F60">TerminArtId(tblTermine[[#This Row],[Terminart]], tblTermine[[#This Row],[Agent]])</f>
        <v>32</v>
      </c>
      <c r="G60" s="81" t="str" cm="1">
        <f t="array" ref="G60">TerminArtDisplay(tblTermine[[#This Row],[Terminart]], tblTermine[[#This Row],[Agent]])</f>
        <v>Feiertag</v>
      </c>
      <c r="H60" s="81" t="str" cm="1">
        <f t="array" ref="H60">MakeSearchTerm(tblTermine[[#This Row],[Mitarbeiter]], tblTermine[[#This Row],[Datum]])</f>
        <v>Plottek, André - 30-01-01</v>
      </c>
      <c r="I60" s="81">
        <f>YEAR(tblTermine[[#This Row],[Datum]])</f>
        <v>2030</v>
      </c>
    </row>
    <row r="61" spans="2:9" x14ac:dyDescent="0.25">
      <c r="B61" s="60">
        <v>47849</v>
      </c>
      <c r="C61" s="61" t="s">
        <v>3</v>
      </c>
      <c r="D61" s="61" t="s">
        <v>92</v>
      </c>
      <c r="E61" s="64"/>
      <c r="F61" s="63" cm="1">
        <f t="array" ref="F61">TerminArtId(tblTermine[[#This Row],[Terminart]], tblTermine[[#This Row],[Agent]])</f>
        <v>32</v>
      </c>
      <c r="G61" s="81" t="str" cm="1">
        <f t="array" ref="G61">TerminArtDisplay(tblTermine[[#This Row],[Terminart]], tblTermine[[#This Row],[Agent]])</f>
        <v>Feiertag</v>
      </c>
      <c r="H61" s="81" t="str" cm="1">
        <f t="array" ref="H61">MakeSearchTerm(tblTermine[[#This Row],[Mitarbeiter]], tblTermine[[#This Row],[Datum]])</f>
        <v>Plottek, André - 31-01-01</v>
      </c>
      <c r="I61" s="81">
        <f>YEAR(tblTermine[[#This Row],[Datum]])</f>
        <v>2031</v>
      </c>
    </row>
    <row r="62" spans="2:9" x14ac:dyDescent="0.25">
      <c r="B62" s="60">
        <v>48214</v>
      </c>
      <c r="C62" s="61" t="s">
        <v>3</v>
      </c>
      <c r="D62" s="61" t="s">
        <v>92</v>
      </c>
      <c r="E62" s="64"/>
      <c r="F62" s="63" cm="1">
        <f t="array" ref="F62">TerminArtId(tblTermine[[#This Row],[Terminart]], tblTermine[[#This Row],[Agent]])</f>
        <v>32</v>
      </c>
      <c r="G62" s="81" t="str" cm="1">
        <f t="array" ref="G62">TerminArtDisplay(tblTermine[[#This Row],[Terminart]], tblTermine[[#This Row],[Agent]])</f>
        <v>Feiertag</v>
      </c>
      <c r="H62" s="81" t="str" cm="1">
        <f t="array" ref="H62">MakeSearchTerm(tblTermine[[#This Row],[Mitarbeiter]], tblTermine[[#This Row],[Datum]])</f>
        <v>Plottek, André - 32-01-01</v>
      </c>
      <c r="I62" s="81">
        <f>YEAR(tblTermine[[#This Row],[Datum]])</f>
        <v>2032</v>
      </c>
    </row>
    <row r="63" spans="2:9" x14ac:dyDescent="0.25">
      <c r="B63" s="60">
        <v>45658</v>
      </c>
      <c r="C63" s="61" t="s">
        <v>4</v>
      </c>
      <c r="D63" s="61" t="s">
        <v>92</v>
      </c>
      <c r="E63" s="64"/>
      <c r="F63" s="63" cm="1">
        <f t="array" ref="F63">TerminArtId(tblTermine[[#This Row],[Terminart]], tblTermine[[#This Row],[Agent]])</f>
        <v>32</v>
      </c>
      <c r="G63" s="81" t="str" cm="1">
        <f t="array" ref="G63">TerminArtDisplay(tblTermine[[#This Row],[Terminart]], tblTermine[[#This Row],[Agent]])</f>
        <v>Feiertag</v>
      </c>
      <c r="H63" s="81" t="str" cm="1">
        <f t="array" ref="H63">MakeSearchTerm(tblTermine[[#This Row],[Mitarbeiter]], tblTermine[[#This Row],[Datum]])</f>
        <v>Schweitzer, Sven - 25-01-01</v>
      </c>
      <c r="I63" s="81">
        <f>YEAR(tblTermine[[#This Row],[Datum]])</f>
        <v>2025</v>
      </c>
    </row>
    <row r="64" spans="2:9" x14ac:dyDescent="0.25">
      <c r="B64" s="60">
        <v>46023</v>
      </c>
      <c r="C64" s="61" t="s">
        <v>4</v>
      </c>
      <c r="D64" s="61" t="s">
        <v>92</v>
      </c>
      <c r="E64" s="64"/>
      <c r="F64" s="63" cm="1">
        <f t="array" ref="F64">TerminArtId(tblTermine[[#This Row],[Terminart]], tblTermine[[#This Row],[Agent]])</f>
        <v>32</v>
      </c>
      <c r="G64" s="81" t="str" cm="1">
        <f t="array" ref="G64">TerminArtDisplay(tblTermine[[#This Row],[Terminart]], tblTermine[[#This Row],[Agent]])</f>
        <v>Feiertag</v>
      </c>
      <c r="H64" s="81" t="str" cm="1">
        <f t="array" ref="H64">MakeSearchTerm(tblTermine[[#This Row],[Mitarbeiter]], tblTermine[[#This Row],[Datum]])</f>
        <v>Schweitzer, Sven - 26-01-01</v>
      </c>
      <c r="I64" s="81">
        <f>YEAR(tblTermine[[#This Row],[Datum]])</f>
        <v>2026</v>
      </c>
    </row>
    <row r="65" spans="2:9" x14ac:dyDescent="0.25">
      <c r="B65" s="60">
        <v>46388</v>
      </c>
      <c r="C65" s="61" t="s">
        <v>4</v>
      </c>
      <c r="D65" s="61" t="s">
        <v>92</v>
      </c>
      <c r="E65" s="64"/>
      <c r="F65" s="63" cm="1">
        <f t="array" ref="F65">TerminArtId(tblTermine[[#This Row],[Terminart]], tblTermine[[#This Row],[Agent]])</f>
        <v>32</v>
      </c>
      <c r="G65" s="81" t="str" cm="1">
        <f t="array" ref="G65">TerminArtDisplay(tblTermine[[#This Row],[Terminart]], tblTermine[[#This Row],[Agent]])</f>
        <v>Feiertag</v>
      </c>
      <c r="H65" s="81" t="str" cm="1">
        <f t="array" ref="H65">MakeSearchTerm(tblTermine[[#This Row],[Mitarbeiter]], tblTermine[[#This Row],[Datum]])</f>
        <v>Schweitzer, Sven - 27-01-01</v>
      </c>
      <c r="I65" s="81">
        <f>YEAR(tblTermine[[#This Row],[Datum]])</f>
        <v>2027</v>
      </c>
    </row>
    <row r="66" spans="2:9" x14ac:dyDescent="0.25">
      <c r="B66" s="60">
        <v>47119</v>
      </c>
      <c r="C66" s="61" t="s">
        <v>4</v>
      </c>
      <c r="D66" s="61" t="s">
        <v>92</v>
      </c>
      <c r="E66" s="64"/>
      <c r="F66" s="63" cm="1">
        <f t="array" ref="F66">TerminArtId(tblTermine[[#This Row],[Terminart]], tblTermine[[#This Row],[Agent]])</f>
        <v>32</v>
      </c>
      <c r="G66" s="81" t="str" cm="1">
        <f t="array" ref="G66">TerminArtDisplay(tblTermine[[#This Row],[Terminart]], tblTermine[[#This Row],[Agent]])</f>
        <v>Feiertag</v>
      </c>
      <c r="H66" s="81" t="str" cm="1">
        <f t="array" ref="H66">MakeSearchTerm(tblTermine[[#This Row],[Mitarbeiter]], tblTermine[[#This Row],[Datum]])</f>
        <v>Schweitzer, Sven - 29-01-01</v>
      </c>
      <c r="I66" s="81">
        <f>YEAR(tblTermine[[#This Row],[Datum]])</f>
        <v>2029</v>
      </c>
    </row>
    <row r="67" spans="2:9" x14ac:dyDescent="0.25">
      <c r="B67" s="60">
        <v>47484</v>
      </c>
      <c r="C67" s="61" t="s">
        <v>4</v>
      </c>
      <c r="D67" s="61" t="s">
        <v>92</v>
      </c>
      <c r="E67" s="64"/>
      <c r="F67" s="63" cm="1">
        <f t="array" ref="F67">TerminArtId(tblTermine[[#This Row],[Terminart]], tblTermine[[#This Row],[Agent]])</f>
        <v>32</v>
      </c>
      <c r="G67" s="81" t="str" cm="1">
        <f t="array" ref="G67">TerminArtDisplay(tblTermine[[#This Row],[Terminart]], tblTermine[[#This Row],[Agent]])</f>
        <v>Feiertag</v>
      </c>
      <c r="H67" s="81" t="str" cm="1">
        <f t="array" ref="H67">MakeSearchTerm(tblTermine[[#This Row],[Mitarbeiter]], tblTermine[[#This Row],[Datum]])</f>
        <v>Schweitzer, Sven - 30-01-01</v>
      </c>
      <c r="I67" s="81">
        <f>YEAR(tblTermine[[#This Row],[Datum]])</f>
        <v>2030</v>
      </c>
    </row>
    <row r="68" spans="2:9" x14ac:dyDescent="0.25">
      <c r="B68" s="60">
        <v>47849</v>
      </c>
      <c r="C68" s="61" t="s">
        <v>4</v>
      </c>
      <c r="D68" s="61" t="s">
        <v>92</v>
      </c>
      <c r="E68" s="64"/>
      <c r="F68" s="63" cm="1">
        <f t="array" ref="F68">TerminArtId(tblTermine[[#This Row],[Terminart]], tblTermine[[#This Row],[Agent]])</f>
        <v>32</v>
      </c>
      <c r="G68" s="81" t="str" cm="1">
        <f t="array" ref="G68">TerminArtDisplay(tblTermine[[#This Row],[Terminart]], tblTermine[[#This Row],[Agent]])</f>
        <v>Feiertag</v>
      </c>
      <c r="H68" s="81" t="str" cm="1">
        <f t="array" ref="H68">MakeSearchTerm(tblTermine[[#This Row],[Mitarbeiter]], tblTermine[[#This Row],[Datum]])</f>
        <v>Schweitzer, Sven - 31-01-01</v>
      </c>
      <c r="I68" s="81">
        <f>YEAR(tblTermine[[#This Row],[Datum]])</f>
        <v>2031</v>
      </c>
    </row>
    <row r="69" spans="2:9" x14ac:dyDescent="0.25">
      <c r="B69" s="60">
        <v>48214</v>
      </c>
      <c r="C69" s="61" t="s">
        <v>4</v>
      </c>
      <c r="D69" s="61" t="s">
        <v>92</v>
      </c>
      <c r="E69" s="64"/>
      <c r="F69" s="63" cm="1">
        <f t="array" ref="F69">TerminArtId(tblTermine[[#This Row],[Terminart]], tblTermine[[#This Row],[Agent]])</f>
        <v>32</v>
      </c>
      <c r="G69" s="81" t="str" cm="1">
        <f t="array" ref="G69">TerminArtDisplay(tblTermine[[#This Row],[Terminart]], tblTermine[[#This Row],[Agent]])</f>
        <v>Feiertag</v>
      </c>
      <c r="H69" s="81" t="str" cm="1">
        <f t="array" ref="H69">MakeSearchTerm(tblTermine[[#This Row],[Mitarbeiter]], tblTermine[[#This Row],[Datum]])</f>
        <v>Schweitzer, Sven - 32-01-01</v>
      </c>
      <c r="I69" s="81">
        <f>YEAR(tblTermine[[#This Row],[Datum]])</f>
        <v>2032</v>
      </c>
    </row>
    <row r="70" spans="2:9" x14ac:dyDescent="0.25">
      <c r="B70" s="60">
        <v>45658</v>
      </c>
      <c r="C70" s="61" t="s">
        <v>6</v>
      </c>
      <c r="D70" s="61" t="s">
        <v>92</v>
      </c>
      <c r="E70" s="64"/>
      <c r="F70" s="63" cm="1">
        <f t="array" ref="F70">TerminArtId(tblTermine[[#This Row],[Terminart]], tblTermine[[#This Row],[Agent]])</f>
        <v>32</v>
      </c>
      <c r="G70" s="81" t="str" cm="1">
        <f t="array" ref="G70">TerminArtDisplay(tblTermine[[#This Row],[Terminart]], tblTermine[[#This Row],[Agent]])</f>
        <v>Feiertag</v>
      </c>
      <c r="H70" s="81" t="str" cm="1">
        <f t="array" ref="H70">MakeSearchTerm(tblTermine[[#This Row],[Mitarbeiter]], tblTermine[[#This Row],[Datum]])</f>
        <v>Weber, Joelle - 25-01-01</v>
      </c>
      <c r="I70" s="81">
        <f>YEAR(tblTermine[[#This Row],[Datum]])</f>
        <v>2025</v>
      </c>
    </row>
    <row r="71" spans="2:9" x14ac:dyDescent="0.25">
      <c r="B71" s="60">
        <v>46023</v>
      </c>
      <c r="C71" s="61" t="s">
        <v>6</v>
      </c>
      <c r="D71" s="61" t="s">
        <v>92</v>
      </c>
      <c r="E71" s="64"/>
      <c r="F71" s="63" cm="1">
        <f t="array" ref="F71">TerminArtId(tblTermine[[#This Row],[Terminart]], tblTermine[[#This Row],[Agent]])</f>
        <v>32</v>
      </c>
      <c r="G71" s="81" t="str" cm="1">
        <f t="array" ref="G71">TerminArtDisplay(tblTermine[[#This Row],[Terminart]], tblTermine[[#This Row],[Agent]])</f>
        <v>Feiertag</v>
      </c>
      <c r="H71" s="81" t="str" cm="1">
        <f t="array" ref="H71">MakeSearchTerm(tblTermine[[#This Row],[Mitarbeiter]], tblTermine[[#This Row],[Datum]])</f>
        <v>Weber, Joelle - 26-01-01</v>
      </c>
      <c r="I71" s="81">
        <f>YEAR(tblTermine[[#This Row],[Datum]])</f>
        <v>2026</v>
      </c>
    </row>
    <row r="72" spans="2:9" x14ac:dyDescent="0.25">
      <c r="B72" s="60">
        <v>46388</v>
      </c>
      <c r="C72" s="61" t="s">
        <v>6</v>
      </c>
      <c r="D72" s="61" t="s">
        <v>92</v>
      </c>
      <c r="E72" s="64"/>
      <c r="F72" s="63" cm="1">
        <f t="array" ref="F72">TerminArtId(tblTermine[[#This Row],[Terminart]], tblTermine[[#This Row],[Agent]])</f>
        <v>32</v>
      </c>
      <c r="G72" s="81" t="str" cm="1">
        <f t="array" ref="G72">TerminArtDisplay(tblTermine[[#This Row],[Terminart]], tblTermine[[#This Row],[Agent]])</f>
        <v>Feiertag</v>
      </c>
      <c r="H72" s="81" t="str" cm="1">
        <f t="array" ref="H72">MakeSearchTerm(tblTermine[[#This Row],[Mitarbeiter]], tblTermine[[#This Row],[Datum]])</f>
        <v>Weber, Joelle - 27-01-01</v>
      </c>
      <c r="I72" s="81">
        <f>YEAR(tblTermine[[#This Row],[Datum]])</f>
        <v>2027</v>
      </c>
    </row>
    <row r="73" spans="2:9" x14ac:dyDescent="0.25">
      <c r="B73" s="60">
        <v>47119</v>
      </c>
      <c r="C73" s="61" t="s">
        <v>6</v>
      </c>
      <c r="D73" s="61" t="s">
        <v>92</v>
      </c>
      <c r="E73" s="64"/>
      <c r="F73" s="63" cm="1">
        <f t="array" ref="F73">TerminArtId(tblTermine[[#This Row],[Terminart]], tblTermine[[#This Row],[Agent]])</f>
        <v>32</v>
      </c>
      <c r="G73" s="81" t="str" cm="1">
        <f t="array" ref="G73">TerminArtDisplay(tblTermine[[#This Row],[Terminart]], tblTermine[[#This Row],[Agent]])</f>
        <v>Feiertag</v>
      </c>
      <c r="H73" s="81" t="str" cm="1">
        <f t="array" ref="H73">MakeSearchTerm(tblTermine[[#This Row],[Mitarbeiter]], tblTermine[[#This Row],[Datum]])</f>
        <v>Weber, Joelle - 29-01-01</v>
      </c>
      <c r="I73" s="81">
        <f>YEAR(tblTermine[[#This Row],[Datum]])</f>
        <v>2029</v>
      </c>
    </row>
    <row r="74" spans="2:9" x14ac:dyDescent="0.25">
      <c r="B74" s="60">
        <v>47484</v>
      </c>
      <c r="C74" s="61" t="s">
        <v>6</v>
      </c>
      <c r="D74" s="61" t="s">
        <v>92</v>
      </c>
      <c r="E74" s="64"/>
      <c r="F74" s="63" cm="1">
        <f t="array" ref="F74">TerminArtId(tblTermine[[#This Row],[Terminart]], tblTermine[[#This Row],[Agent]])</f>
        <v>32</v>
      </c>
      <c r="G74" s="81" t="str" cm="1">
        <f t="array" ref="G74">TerminArtDisplay(tblTermine[[#This Row],[Terminart]], tblTermine[[#This Row],[Agent]])</f>
        <v>Feiertag</v>
      </c>
      <c r="H74" s="81" t="str" cm="1">
        <f t="array" ref="H74">MakeSearchTerm(tblTermine[[#This Row],[Mitarbeiter]], tblTermine[[#This Row],[Datum]])</f>
        <v>Weber, Joelle - 30-01-01</v>
      </c>
      <c r="I74" s="81">
        <f>YEAR(tblTermine[[#This Row],[Datum]])</f>
        <v>2030</v>
      </c>
    </row>
    <row r="75" spans="2:9" x14ac:dyDescent="0.25">
      <c r="B75" s="60">
        <v>47849</v>
      </c>
      <c r="C75" s="61" t="s">
        <v>6</v>
      </c>
      <c r="D75" s="61" t="s">
        <v>92</v>
      </c>
      <c r="E75" s="64"/>
      <c r="F75" s="63" cm="1">
        <f t="array" ref="F75">TerminArtId(tblTermine[[#This Row],[Terminart]], tblTermine[[#This Row],[Agent]])</f>
        <v>32</v>
      </c>
      <c r="G75" s="81" t="str" cm="1">
        <f t="array" ref="G75">TerminArtDisplay(tblTermine[[#This Row],[Terminart]], tblTermine[[#This Row],[Agent]])</f>
        <v>Feiertag</v>
      </c>
      <c r="H75" s="81" t="str" cm="1">
        <f t="array" ref="H75">MakeSearchTerm(tblTermine[[#This Row],[Mitarbeiter]], tblTermine[[#This Row],[Datum]])</f>
        <v>Weber, Joelle - 31-01-01</v>
      </c>
      <c r="I75" s="81">
        <f>YEAR(tblTermine[[#This Row],[Datum]])</f>
        <v>2031</v>
      </c>
    </row>
    <row r="76" spans="2:9" x14ac:dyDescent="0.25">
      <c r="B76" s="60">
        <v>48214</v>
      </c>
      <c r="C76" s="61" t="s">
        <v>6</v>
      </c>
      <c r="D76" s="61" t="s">
        <v>92</v>
      </c>
      <c r="E76" s="64"/>
      <c r="F76" s="63" cm="1">
        <f t="array" ref="F76">TerminArtId(tblTermine[[#This Row],[Terminart]], tblTermine[[#This Row],[Agent]])</f>
        <v>32</v>
      </c>
      <c r="G76" s="81" t="str" cm="1">
        <f t="array" ref="G76">TerminArtDisplay(tblTermine[[#This Row],[Terminart]], tblTermine[[#This Row],[Agent]])</f>
        <v>Feiertag</v>
      </c>
      <c r="H76" s="81" t="str" cm="1">
        <f t="array" ref="H76">MakeSearchTerm(tblTermine[[#This Row],[Mitarbeiter]], tblTermine[[#This Row],[Datum]])</f>
        <v>Weber, Joelle - 32-01-01</v>
      </c>
      <c r="I76" s="81">
        <f>YEAR(tblTermine[[#This Row],[Datum]])</f>
        <v>2032</v>
      </c>
    </row>
    <row r="77" spans="2:9" x14ac:dyDescent="0.25">
      <c r="B77" s="60">
        <v>45663</v>
      </c>
      <c r="C77" s="61" t="s">
        <v>3</v>
      </c>
      <c r="D77" s="61" t="s">
        <v>92</v>
      </c>
      <c r="E77" s="64"/>
      <c r="F77" s="63" cm="1">
        <f t="array" ref="F77">TerminArtId(tblTermine[[#This Row],[Terminart]], tblTermine[[#This Row],[Agent]])</f>
        <v>32</v>
      </c>
      <c r="G77" s="81" t="str" cm="1">
        <f t="array" ref="G77">TerminArtDisplay(tblTermine[[#This Row],[Terminart]], tblTermine[[#This Row],[Agent]])</f>
        <v>Feiertag</v>
      </c>
      <c r="H77" s="81" t="str" cm="1">
        <f t="array" ref="H77">MakeSearchTerm(tblTermine[[#This Row],[Mitarbeiter]], tblTermine[[#This Row],[Datum]])</f>
        <v>Plottek, André - 25-01-06</v>
      </c>
      <c r="I77" s="81">
        <f>YEAR(tblTermine[[#This Row],[Datum]])</f>
        <v>2025</v>
      </c>
    </row>
    <row r="78" spans="2:9" x14ac:dyDescent="0.25">
      <c r="B78" s="60">
        <v>46028</v>
      </c>
      <c r="C78" s="61" t="s">
        <v>3</v>
      </c>
      <c r="D78" s="61" t="s">
        <v>92</v>
      </c>
      <c r="E78" s="64"/>
      <c r="F78" s="63" cm="1">
        <f t="array" ref="F78">TerminArtId(tblTermine[[#This Row],[Terminart]], tblTermine[[#This Row],[Agent]])</f>
        <v>32</v>
      </c>
      <c r="G78" s="81" t="str" cm="1">
        <f t="array" ref="G78">TerminArtDisplay(tblTermine[[#This Row],[Terminart]], tblTermine[[#This Row],[Agent]])</f>
        <v>Feiertag</v>
      </c>
      <c r="H78" s="81" t="str" cm="1">
        <f t="array" ref="H78">MakeSearchTerm(tblTermine[[#This Row],[Mitarbeiter]], tblTermine[[#This Row],[Datum]])</f>
        <v>Plottek, André - 26-01-06</v>
      </c>
      <c r="I78" s="81">
        <f>YEAR(tblTermine[[#This Row],[Datum]])</f>
        <v>2026</v>
      </c>
    </row>
    <row r="79" spans="2:9" x14ac:dyDescent="0.25">
      <c r="B79" s="60">
        <v>46393</v>
      </c>
      <c r="C79" s="61" t="s">
        <v>3</v>
      </c>
      <c r="D79" s="61" t="s">
        <v>92</v>
      </c>
      <c r="E79" s="64"/>
      <c r="F79" s="63" cm="1">
        <f t="array" ref="F79">TerminArtId(tblTermine[[#This Row],[Terminart]], tblTermine[[#This Row],[Agent]])</f>
        <v>32</v>
      </c>
      <c r="G79" s="81" t="str" cm="1">
        <f t="array" ref="G79">TerminArtDisplay(tblTermine[[#This Row],[Terminart]], tblTermine[[#This Row],[Agent]])</f>
        <v>Feiertag</v>
      </c>
      <c r="H79" s="81" t="str" cm="1">
        <f t="array" ref="H79">MakeSearchTerm(tblTermine[[#This Row],[Mitarbeiter]], tblTermine[[#This Row],[Datum]])</f>
        <v>Plottek, André - 27-01-06</v>
      </c>
      <c r="I79" s="81">
        <f>YEAR(tblTermine[[#This Row],[Datum]])</f>
        <v>2027</v>
      </c>
    </row>
    <row r="80" spans="2:9" x14ac:dyDescent="0.25">
      <c r="B80" s="60">
        <v>46758</v>
      </c>
      <c r="C80" s="61" t="s">
        <v>3</v>
      </c>
      <c r="D80" s="61" t="s">
        <v>92</v>
      </c>
      <c r="E80" s="64"/>
      <c r="F80" s="63" cm="1">
        <f t="array" ref="F80">TerminArtId(tblTermine[[#This Row],[Terminart]], tblTermine[[#This Row],[Agent]])</f>
        <v>32</v>
      </c>
      <c r="G80" s="81" t="str" cm="1">
        <f t="array" ref="G80">TerminArtDisplay(tblTermine[[#This Row],[Terminart]], tblTermine[[#This Row],[Agent]])</f>
        <v>Feiertag</v>
      </c>
      <c r="H80" s="81" t="str" cm="1">
        <f t="array" ref="H80">MakeSearchTerm(tblTermine[[#This Row],[Mitarbeiter]], tblTermine[[#This Row],[Datum]])</f>
        <v>Plottek, André - 28-01-06</v>
      </c>
      <c r="I80" s="81">
        <f>YEAR(tblTermine[[#This Row],[Datum]])</f>
        <v>2028</v>
      </c>
    </row>
    <row r="81" spans="2:9" x14ac:dyDescent="0.25">
      <c r="B81" s="60">
        <v>47854</v>
      </c>
      <c r="C81" s="61" t="s">
        <v>3</v>
      </c>
      <c r="D81" s="61" t="s">
        <v>92</v>
      </c>
      <c r="E81" s="64"/>
      <c r="F81" s="63" cm="1">
        <f t="array" ref="F81">TerminArtId(tblTermine[[#This Row],[Terminart]], tblTermine[[#This Row],[Agent]])</f>
        <v>32</v>
      </c>
      <c r="G81" s="81" t="str" cm="1">
        <f t="array" ref="G81">TerminArtDisplay(tblTermine[[#This Row],[Terminart]], tblTermine[[#This Row],[Agent]])</f>
        <v>Feiertag</v>
      </c>
      <c r="H81" s="81" t="str" cm="1">
        <f t="array" ref="H81">MakeSearchTerm(tblTermine[[#This Row],[Mitarbeiter]], tblTermine[[#This Row],[Datum]])</f>
        <v>Plottek, André - 31-01-06</v>
      </c>
      <c r="I81" s="81">
        <f>YEAR(tblTermine[[#This Row],[Datum]])</f>
        <v>2031</v>
      </c>
    </row>
    <row r="82" spans="2:9" x14ac:dyDescent="0.25">
      <c r="B82" s="60">
        <v>48219</v>
      </c>
      <c r="C82" s="61" t="s">
        <v>3</v>
      </c>
      <c r="D82" s="61" t="s">
        <v>92</v>
      </c>
      <c r="E82" s="64"/>
      <c r="F82" s="63" cm="1">
        <f t="array" ref="F82">TerminArtId(tblTermine[[#This Row],[Terminart]], tblTermine[[#This Row],[Agent]])</f>
        <v>32</v>
      </c>
      <c r="G82" s="81" t="str" cm="1">
        <f t="array" ref="G82">TerminArtDisplay(tblTermine[[#This Row],[Terminart]], tblTermine[[#This Row],[Agent]])</f>
        <v>Feiertag</v>
      </c>
      <c r="H82" s="81" t="str" cm="1">
        <f t="array" ref="H82">MakeSearchTerm(tblTermine[[#This Row],[Mitarbeiter]], tblTermine[[#This Row],[Datum]])</f>
        <v>Plottek, André - 32-01-06</v>
      </c>
      <c r="I82" s="81">
        <f>YEAR(tblTermine[[#This Row],[Datum]])</f>
        <v>2032</v>
      </c>
    </row>
    <row r="83" spans="2:9" x14ac:dyDescent="0.25">
      <c r="B83" s="60">
        <v>45765</v>
      </c>
      <c r="C83" s="61" t="s">
        <v>1</v>
      </c>
      <c r="D83" s="61" t="s">
        <v>92</v>
      </c>
      <c r="E83" s="64"/>
      <c r="F83" s="63" cm="1">
        <f t="array" ref="F83">TerminArtId(tblTermine[[#This Row],[Terminart]], tblTermine[[#This Row],[Agent]])</f>
        <v>32</v>
      </c>
      <c r="G83" s="81" t="str" cm="1">
        <f t="array" ref="G83">TerminArtDisplay(tblTermine[[#This Row],[Terminart]], tblTermine[[#This Row],[Agent]])</f>
        <v>Feiertag</v>
      </c>
      <c r="H83" s="81" t="str" cm="1">
        <f t="array" ref="H83">MakeSearchTerm(tblTermine[[#This Row],[Mitarbeiter]], tblTermine[[#This Row],[Datum]])</f>
        <v>Lehrmann, Marcel - 25-04-18</v>
      </c>
      <c r="I83" s="81">
        <f>YEAR(tblTermine[[#This Row],[Datum]])</f>
        <v>2025</v>
      </c>
    </row>
    <row r="84" spans="2:9" x14ac:dyDescent="0.25">
      <c r="B84" s="60">
        <v>46115</v>
      </c>
      <c r="C84" s="61" t="s">
        <v>1</v>
      </c>
      <c r="D84" s="61" t="s">
        <v>92</v>
      </c>
      <c r="E84" s="64"/>
      <c r="F84" s="63" cm="1">
        <f t="array" ref="F84">TerminArtId(tblTermine[[#This Row],[Terminart]], tblTermine[[#This Row],[Agent]])</f>
        <v>32</v>
      </c>
      <c r="G84" s="81" t="str" cm="1">
        <f t="array" ref="G84">TerminArtDisplay(tblTermine[[#This Row],[Terminart]], tblTermine[[#This Row],[Agent]])</f>
        <v>Feiertag</v>
      </c>
      <c r="H84" s="81" t="str" cm="1">
        <f t="array" ref="H84">MakeSearchTerm(tblTermine[[#This Row],[Mitarbeiter]], tblTermine[[#This Row],[Datum]])</f>
        <v>Lehrmann, Marcel - 26-04-03</v>
      </c>
      <c r="I84" s="81">
        <f>YEAR(tblTermine[[#This Row],[Datum]])</f>
        <v>2026</v>
      </c>
    </row>
    <row r="85" spans="2:9" x14ac:dyDescent="0.25">
      <c r="B85" s="60">
        <v>46472</v>
      </c>
      <c r="C85" s="61" t="s">
        <v>1</v>
      </c>
      <c r="D85" s="61" t="s">
        <v>92</v>
      </c>
      <c r="E85" s="64"/>
      <c r="F85" s="63" cm="1">
        <f t="array" ref="F85">TerminArtId(tblTermine[[#This Row],[Terminart]], tblTermine[[#This Row],[Agent]])</f>
        <v>32</v>
      </c>
      <c r="G85" s="81" t="str" cm="1">
        <f t="array" ref="G85">TerminArtDisplay(tblTermine[[#This Row],[Terminart]], tblTermine[[#This Row],[Agent]])</f>
        <v>Feiertag</v>
      </c>
      <c r="H85" s="81" t="str" cm="1">
        <f t="array" ref="H85">MakeSearchTerm(tblTermine[[#This Row],[Mitarbeiter]], tblTermine[[#This Row],[Datum]])</f>
        <v>Lehrmann, Marcel - 27-03-26</v>
      </c>
      <c r="I85" s="81">
        <f>YEAR(tblTermine[[#This Row],[Datum]])</f>
        <v>2027</v>
      </c>
    </row>
    <row r="86" spans="2:9" x14ac:dyDescent="0.25">
      <c r="B86" s="60">
        <v>46857</v>
      </c>
      <c r="C86" s="61" t="s">
        <v>1</v>
      </c>
      <c r="D86" s="61" t="s">
        <v>92</v>
      </c>
      <c r="E86" s="64"/>
      <c r="F86" s="63" cm="1">
        <f t="array" ref="F86">TerminArtId(tblTermine[[#This Row],[Terminart]], tblTermine[[#This Row],[Agent]])</f>
        <v>32</v>
      </c>
      <c r="G86" s="81" t="str" cm="1">
        <f t="array" ref="G86">TerminArtDisplay(tblTermine[[#This Row],[Terminart]], tblTermine[[#This Row],[Agent]])</f>
        <v>Feiertag</v>
      </c>
      <c r="H86" s="81" t="str" cm="1">
        <f t="array" ref="H86">MakeSearchTerm(tblTermine[[#This Row],[Mitarbeiter]], tblTermine[[#This Row],[Datum]])</f>
        <v>Lehrmann, Marcel - 28-04-14</v>
      </c>
      <c r="I86" s="81">
        <f>YEAR(tblTermine[[#This Row],[Datum]])</f>
        <v>2028</v>
      </c>
    </row>
    <row r="87" spans="2:9" x14ac:dyDescent="0.25">
      <c r="B87" s="60">
        <v>47207</v>
      </c>
      <c r="C87" s="61" t="s">
        <v>1</v>
      </c>
      <c r="D87" s="61" t="s">
        <v>92</v>
      </c>
      <c r="E87" s="64"/>
      <c r="F87" s="63" cm="1">
        <f t="array" ref="F87">TerminArtId(tblTermine[[#This Row],[Terminart]], tblTermine[[#This Row],[Agent]])</f>
        <v>32</v>
      </c>
      <c r="G87" s="81" t="str" cm="1">
        <f t="array" ref="G87">TerminArtDisplay(tblTermine[[#This Row],[Terminart]], tblTermine[[#This Row],[Agent]])</f>
        <v>Feiertag</v>
      </c>
      <c r="H87" s="81" t="str" cm="1">
        <f t="array" ref="H87">MakeSearchTerm(tblTermine[[#This Row],[Mitarbeiter]], tblTermine[[#This Row],[Datum]])</f>
        <v>Lehrmann, Marcel - 29-03-30</v>
      </c>
      <c r="I87" s="81">
        <f>YEAR(tblTermine[[#This Row],[Datum]])</f>
        <v>2029</v>
      </c>
    </row>
    <row r="88" spans="2:9" x14ac:dyDescent="0.25">
      <c r="B88" s="60">
        <v>47592</v>
      </c>
      <c r="C88" s="61" t="s">
        <v>1</v>
      </c>
      <c r="D88" s="61" t="s">
        <v>92</v>
      </c>
      <c r="E88" s="64"/>
      <c r="F88" s="63" cm="1">
        <f t="array" ref="F88">TerminArtId(tblTermine[[#This Row],[Terminart]], tblTermine[[#This Row],[Agent]])</f>
        <v>32</v>
      </c>
      <c r="G88" s="81" t="str" cm="1">
        <f t="array" ref="G88">TerminArtDisplay(tblTermine[[#This Row],[Terminart]], tblTermine[[#This Row],[Agent]])</f>
        <v>Feiertag</v>
      </c>
      <c r="H88" s="81" t="str" cm="1">
        <f t="array" ref="H88">MakeSearchTerm(tblTermine[[#This Row],[Mitarbeiter]], tblTermine[[#This Row],[Datum]])</f>
        <v>Lehrmann, Marcel - 30-04-19</v>
      </c>
      <c r="I88" s="81">
        <f>YEAR(tblTermine[[#This Row],[Datum]])</f>
        <v>2030</v>
      </c>
    </row>
    <row r="89" spans="2:9" x14ac:dyDescent="0.25">
      <c r="B89" s="60">
        <v>47949</v>
      </c>
      <c r="C89" s="61" t="s">
        <v>1</v>
      </c>
      <c r="D89" s="61" t="s">
        <v>92</v>
      </c>
      <c r="E89" s="64"/>
      <c r="F89" s="63" cm="1">
        <f t="array" ref="F89">TerminArtId(tblTermine[[#This Row],[Terminart]], tblTermine[[#This Row],[Agent]])</f>
        <v>32</v>
      </c>
      <c r="G89" s="81" t="str" cm="1">
        <f t="array" ref="G89">TerminArtDisplay(tblTermine[[#This Row],[Terminart]], tblTermine[[#This Row],[Agent]])</f>
        <v>Feiertag</v>
      </c>
      <c r="H89" s="81" t="str" cm="1">
        <f t="array" ref="H89">MakeSearchTerm(tblTermine[[#This Row],[Mitarbeiter]], tblTermine[[#This Row],[Datum]])</f>
        <v>Lehrmann, Marcel - 31-04-11</v>
      </c>
      <c r="I89" s="81">
        <f>YEAR(tblTermine[[#This Row],[Datum]])</f>
        <v>2031</v>
      </c>
    </row>
    <row r="90" spans="2:9" x14ac:dyDescent="0.25">
      <c r="B90" s="60">
        <v>48299</v>
      </c>
      <c r="C90" s="61" t="s">
        <v>1</v>
      </c>
      <c r="D90" s="61" t="s">
        <v>92</v>
      </c>
      <c r="E90" s="64"/>
      <c r="F90" s="63" cm="1">
        <f t="array" ref="F90">TerminArtId(tblTermine[[#This Row],[Terminart]], tblTermine[[#This Row],[Agent]])</f>
        <v>32</v>
      </c>
      <c r="G90" s="81" t="str" cm="1">
        <f t="array" ref="G90">TerminArtDisplay(tblTermine[[#This Row],[Terminart]], tblTermine[[#This Row],[Agent]])</f>
        <v>Feiertag</v>
      </c>
      <c r="H90" s="81" t="str" cm="1">
        <f t="array" ref="H90">MakeSearchTerm(tblTermine[[#This Row],[Mitarbeiter]], tblTermine[[#This Row],[Datum]])</f>
        <v>Lehrmann, Marcel - 32-03-26</v>
      </c>
      <c r="I90" s="81">
        <f>YEAR(tblTermine[[#This Row],[Datum]])</f>
        <v>2032</v>
      </c>
    </row>
    <row r="91" spans="2:9" x14ac:dyDescent="0.25">
      <c r="B91" s="60">
        <v>45765</v>
      </c>
      <c r="C91" s="61" t="s">
        <v>3</v>
      </c>
      <c r="D91" s="61" t="s">
        <v>92</v>
      </c>
      <c r="E91" s="64"/>
      <c r="F91" s="63" cm="1">
        <f t="array" ref="F91">TerminArtId(tblTermine[[#This Row],[Terminart]], tblTermine[[#This Row],[Agent]])</f>
        <v>32</v>
      </c>
      <c r="G91" s="81" t="str" cm="1">
        <f t="array" ref="G91">TerminArtDisplay(tblTermine[[#This Row],[Terminart]], tblTermine[[#This Row],[Agent]])</f>
        <v>Feiertag</v>
      </c>
      <c r="H91" s="81" t="str" cm="1">
        <f t="array" ref="H91">MakeSearchTerm(tblTermine[[#This Row],[Mitarbeiter]], tblTermine[[#This Row],[Datum]])</f>
        <v>Plottek, André - 25-04-18</v>
      </c>
      <c r="I91" s="81">
        <f>YEAR(tblTermine[[#This Row],[Datum]])</f>
        <v>2025</v>
      </c>
    </row>
    <row r="92" spans="2:9" x14ac:dyDescent="0.25">
      <c r="B92" s="60">
        <v>46115</v>
      </c>
      <c r="C92" s="61" t="s">
        <v>3</v>
      </c>
      <c r="D92" s="61" t="s">
        <v>92</v>
      </c>
      <c r="E92" s="64"/>
      <c r="F92" s="63" cm="1">
        <f t="array" ref="F92">TerminArtId(tblTermine[[#This Row],[Terminart]], tblTermine[[#This Row],[Agent]])</f>
        <v>32</v>
      </c>
      <c r="G92" s="81" t="str" cm="1">
        <f t="array" ref="G92">TerminArtDisplay(tblTermine[[#This Row],[Terminart]], tblTermine[[#This Row],[Agent]])</f>
        <v>Feiertag</v>
      </c>
      <c r="H92" s="81" t="str" cm="1">
        <f t="array" ref="H92">MakeSearchTerm(tblTermine[[#This Row],[Mitarbeiter]], tblTermine[[#This Row],[Datum]])</f>
        <v>Plottek, André - 26-04-03</v>
      </c>
      <c r="I92" s="81">
        <f>YEAR(tblTermine[[#This Row],[Datum]])</f>
        <v>2026</v>
      </c>
    </row>
    <row r="93" spans="2:9" x14ac:dyDescent="0.25">
      <c r="B93" s="60">
        <v>46472</v>
      </c>
      <c r="C93" s="61" t="s">
        <v>3</v>
      </c>
      <c r="D93" s="61" t="s">
        <v>92</v>
      </c>
      <c r="E93" s="64"/>
      <c r="F93" s="63" cm="1">
        <f t="array" ref="F93">TerminArtId(tblTermine[[#This Row],[Terminart]], tblTermine[[#This Row],[Agent]])</f>
        <v>32</v>
      </c>
      <c r="G93" s="81" t="str" cm="1">
        <f t="array" ref="G93">TerminArtDisplay(tblTermine[[#This Row],[Terminart]], tblTermine[[#This Row],[Agent]])</f>
        <v>Feiertag</v>
      </c>
      <c r="H93" s="81" t="str" cm="1">
        <f t="array" ref="H93">MakeSearchTerm(tblTermine[[#This Row],[Mitarbeiter]], tblTermine[[#This Row],[Datum]])</f>
        <v>Plottek, André - 27-03-26</v>
      </c>
      <c r="I93" s="81">
        <f>YEAR(tblTermine[[#This Row],[Datum]])</f>
        <v>2027</v>
      </c>
    </row>
    <row r="94" spans="2:9" x14ac:dyDescent="0.25">
      <c r="B94" s="60">
        <v>46857</v>
      </c>
      <c r="C94" s="61" t="s">
        <v>3</v>
      </c>
      <c r="D94" s="61" t="s">
        <v>92</v>
      </c>
      <c r="E94" s="64"/>
      <c r="F94" s="63" cm="1">
        <f t="array" ref="F94">TerminArtId(tblTermine[[#This Row],[Terminart]], tblTermine[[#This Row],[Agent]])</f>
        <v>32</v>
      </c>
      <c r="G94" s="81" t="str" cm="1">
        <f t="array" ref="G94">TerminArtDisplay(tblTermine[[#This Row],[Terminart]], tblTermine[[#This Row],[Agent]])</f>
        <v>Feiertag</v>
      </c>
      <c r="H94" s="81" t="str" cm="1">
        <f t="array" ref="H94">MakeSearchTerm(tblTermine[[#This Row],[Mitarbeiter]], tblTermine[[#This Row],[Datum]])</f>
        <v>Plottek, André - 28-04-14</v>
      </c>
      <c r="I94" s="81">
        <f>YEAR(tblTermine[[#This Row],[Datum]])</f>
        <v>2028</v>
      </c>
    </row>
    <row r="95" spans="2:9" x14ac:dyDescent="0.25">
      <c r="B95" s="60">
        <v>47207</v>
      </c>
      <c r="C95" s="61" t="s">
        <v>3</v>
      </c>
      <c r="D95" s="61" t="s">
        <v>92</v>
      </c>
      <c r="E95" s="64"/>
      <c r="F95" s="63" cm="1">
        <f t="array" ref="F95">TerminArtId(tblTermine[[#This Row],[Terminart]], tblTermine[[#This Row],[Agent]])</f>
        <v>32</v>
      </c>
      <c r="G95" s="81" t="str" cm="1">
        <f t="array" ref="G95">TerminArtDisplay(tblTermine[[#This Row],[Terminart]], tblTermine[[#This Row],[Agent]])</f>
        <v>Feiertag</v>
      </c>
      <c r="H95" s="81" t="str" cm="1">
        <f t="array" ref="H95">MakeSearchTerm(tblTermine[[#This Row],[Mitarbeiter]], tblTermine[[#This Row],[Datum]])</f>
        <v>Plottek, André - 29-03-30</v>
      </c>
      <c r="I95" s="81">
        <f>YEAR(tblTermine[[#This Row],[Datum]])</f>
        <v>2029</v>
      </c>
    </row>
    <row r="96" spans="2:9" x14ac:dyDescent="0.25">
      <c r="B96" s="60">
        <v>47592</v>
      </c>
      <c r="C96" s="61" t="s">
        <v>3</v>
      </c>
      <c r="D96" s="61" t="s">
        <v>92</v>
      </c>
      <c r="E96" s="64"/>
      <c r="F96" s="63" cm="1">
        <f t="array" ref="F96">TerminArtId(tblTermine[[#This Row],[Terminart]], tblTermine[[#This Row],[Agent]])</f>
        <v>32</v>
      </c>
      <c r="G96" s="81" t="str" cm="1">
        <f t="array" ref="G96">TerminArtDisplay(tblTermine[[#This Row],[Terminart]], tblTermine[[#This Row],[Agent]])</f>
        <v>Feiertag</v>
      </c>
      <c r="H96" s="81" t="str" cm="1">
        <f t="array" ref="H96">MakeSearchTerm(tblTermine[[#This Row],[Mitarbeiter]], tblTermine[[#This Row],[Datum]])</f>
        <v>Plottek, André - 30-04-19</v>
      </c>
      <c r="I96" s="81">
        <f>YEAR(tblTermine[[#This Row],[Datum]])</f>
        <v>2030</v>
      </c>
    </row>
    <row r="97" spans="2:9" x14ac:dyDescent="0.25">
      <c r="B97" s="60">
        <v>47949</v>
      </c>
      <c r="C97" s="61" t="s">
        <v>3</v>
      </c>
      <c r="D97" s="61" t="s">
        <v>92</v>
      </c>
      <c r="E97" s="64"/>
      <c r="F97" s="63" cm="1">
        <f t="array" ref="F97">TerminArtId(tblTermine[[#This Row],[Terminart]], tblTermine[[#This Row],[Agent]])</f>
        <v>32</v>
      </c>
      <c r="G97" s="81" t="str" cm="1">
        <f t="array" ref="G97">TerminArtDisplay(tblTermine[[#This Row],[Terminart]], tblTermine[[#This Row],[Agent]])</f>
        <v>Feiertag</v>
      </c>
      <c r="H97" s="81" t="str" cm="1">
        <f t="array" ref="H97">MakeSearchTerm(tblTermine[[#This Row],[Mitarbeiter]], tblTermine[[#This Row],[Datum]])</f>
        <v>Plottek, André - 31-04-11</v>
      </c>
      <c r="I97" s="81">
        <f>YEAR(tblTermine[[#This Row],[Datum]])</f>
        <v>2031</v>
      </c>
    </row>
    <row r="98" spans="2:9" x14ac:dyDescent="0.25">
      <c r="B98" s="60">
        <v>48299</v>
      </c>
      <c r="C98" s="61" t="s">
        <v>3</v>
      </c>
      <c r="D98" s="61" t="s">
        <v>92</v>
      </c>
      <c r="E98" s="64"/>
      <c r="F98" s="63" cm="1">
        <f t="array" ref="F98">TerminArtId(tblTermine[[#This Row],[Terminart]], tblTermine[[#This Row],[Agent]])</f>
        <v>32</v>
      </c>
      <c r="G98" s="81" t="str" cm="1">
        <f t="array" ref="G98">TerminArtDisplay(tblTermine[[#This Row],[Terminart]], tblTermine[[#This Row],[Agent]])</f>
        <v>Feiertag</v>
      </c>
      <c r="H98" s="81" t="str" cm="1">
        <f t="array" ref="H98">MakeSearchTerm(tblTermine[[#This Row],[Mitarbeiter]], tblTermine[[#This Row],[Datum]])</f>
        <v>Plottek, André - 32-03-26</v>
      </c>
      <c r="I98" s="81">
        <f>YEAR(tblTermine[[#This Row],[Datum]])</f>
        <v>2032</v>
      </c>
    </row>
    <row r="99" spans="2:9" x14ac:dyDescent="0.25">
      <c r="B99" s="60">
        <v>45765</v>
      </c>
      <c r="C99" s="61" t="s">
        <v>4</v>
      </c>
      <c r="D99" s="61" t="s">
        <v>92</v>
      </c>
      <c r="E99" s="64"/>
      <c r="F99" s="63" cm="1">
        <f t="array" ref="F99">TerminArtId(tblTermine[[#This Row],[Terminart]], tblTermine[[#This Row],[Agent]])</f>
        <v>32</v>
      </c>
      <c r="G99" s="81" t="str" cm="1">
        <f t="array" ref="G99">TerminArtDisplay(tblTermine[[#This Row],[Terminart]], tblTermine[[#This Row],[Agent]])</f>
        <v>Feiertag</v>
      </c>
      <c r="H99" s="81" t="str" cm="1">
        <f t="array" ref="H99">MakeSearchTerm(tblTermine[[#This Row],[Mitarbeiter]], tblTermine[[#This Row],[Datum]])</f>
        <v>Schweitzer, Sven - 25-04-18</v>
      </c>
      <c r="I99" s="81">
        <f>YEAR(tblTermine[[#This Row],[Datum]])</f>
        <v>2025</v>
      </c>
    </row>
    <row r="100" spans="2:9" x14ac:dyDescent="0.25">
      <c r="B100" s="60">
        <v>46115</v>
      </c>
      <c r="C100" s="61" t="s">
        <v>4</v>
      </c>
      <c r="D100" s="61" t="s">
        <v>92</v>
      </c>
      <c r="E100" s="64"/>
      <c r="F100" s="63" cm="1">
        <f t="array" ref="F100">TerminArtId(tblTermine[[#This Row],[Terminart]], tblTermine[[#This Row],[Agent]])</f>
        <v>32</v>
      </c>
      <c r="G100" s="81" t="str" cm="1">
        <f t="array" ref="G100">TerminArtDisplay(tblTermine[[#This Row],[Terminart]], tblTermine[[#This Row],[Agent]])</f>
        <v>Feiertag</v>
      </c>
      <c r="H100" s="81" t="str" cm="1">
        <f t="array" ref="H100">MakeSearchTerm(tblTermine[[#This Row],[Mitarbeiter]], tblTermine[[#This Row],[Datum]])</f>
        <v>Schweitzer, Sven - 26-04-03</v>
      </c>
      <c r="I100" s="81">
        <f>YEAR(tblTermine[[#This Row],[Datum]])</f>
        <v>2026</v>
      </c>
    </row>
    <row r="101" spans="2:9" x14ac:dyDescent="0.25">
      <c r="B101" s="60">
        <v>46472</v>
      </c>
      <c r="C101" s="61" t="s">
        <v>4</v>
      </c>
      <c r="D101" s="61" t="s">
        <v>92</v>
      </c>
      <c r="E101" s="64"/>
      <c r="F101" s="63" cm="1">
        <f t="array" ref="F101">TerminArtId(tblTermine[[#This Row],[Terminart]], tblTermine[[#This Row],[Agent]])</f>
        <v>32</v>
      </c>
      <c r="G101" s="81" t="str" cm="1">
        <f t="array" ref="G101">TerminArtDisplay(tblTermine[[#This Row],[Terminart]], tblTermine[[#This Row],[Agent]])</f>
        <v>Feiertag</v>
      </c>
      <c r="H101" s="81" t="str" cm="1">
        <f t="array" ref="H101">MakeSearchTerm(tblTermine[[#This Row],[Mitarbeiter]], tblTermine[[#This Row],[Datum]])</f>
        <v>Schweitzer, Sven - 27-03-26</v>
      </c>
      <c r="I101" s="81">
        <f>YEAR(tblTermine[[#This Row],[Datum]])</f>
        <v>2027</v>
      </c>
    </row>
    <row r="102" spans="2:9" x14ac:dyDescent="0.25">
      <c r="B102" s="60">
        <v>46857</v>
      </c>
      <c r="C102" s="61" t="s">
        <v>4</v>
      </c>
      <c r="D102" s="61" t="s">
        <v>92</v>
      </c>
      <c r="E102" s="64"/>
      <c r="F102" s="63" cm="1">
        <f t="array" ref="F102">TerminArtId(tblTermine[[#This Row],[Terminart]], tblTermine[[#This Row],[Agent]])</f>
        <v>32</v>
      </c>
      <c r="G102" s="81" t="str" cm="1">
        <f t="array" ref="G102">TerminArtDisplay(tblTermine[[#This Row],[Terminart]], tblTermine[[#This Row],[Agent]])</f>
        <v>Feiertag</v>
      </c>
      <c r="H102" s="81" t="str" cm="1">
        <f t="array" ref="H102">MakeSearchTerm(tblTermine[[#This Row],[Mitarbeiter]], tblTermine[[#This Row],[Datum]])</f>
        <v>Schweitzer, Sven - 28-04-14</v>
      </c>
      <c r="I102" s="81">
        <f>YEAR(tblTermine[[#This Row],[Datum]])</f>
        <v>2028</v>
      </c>
    </row>
    <row r="103" spans="2:9" x14ac:dyDescent="0.25">
      <c r="B103" s="60">
        <v>47207</v>
      </c>
      <c r="C103" s="61" t="s">
        <v>4</v>
      </c>
      <c r="D103" s="61" t="s">
        <v>92</v>
      </c>
      <c r="E103" s="64"/>
      <c r="F103" s="63" cm="1">
        <f t="array" ref="F103">TerminArtId(tblTermine[[#This Row],[Terminart]], tblTermine[[#This Row],[Agent]])</f>
        <v>32</v>
      </c>
      <c r="G103" s="81" t="str" cm="1">
        <f t="array" ref="G103">TerminArtDisplay(tblTermine[[#This Row],[Terminart]], tblTermine[[#This Row],[Agent]])</f>
        <v>Feiertag</v>
      </c>
      <c r="H103" s="81" t="str" cm="1">
        <f t="array" ref="H103">MakeSearchTerm(tblTermine[[#This Row],[Mitarbeiter]], tblTermine[[#This Row],[Datum]])</f>
        <v>Schweitzer, Sven - 29-03-30</v>
      </c>
      <c r="I103" s="81">
        <f>YEAR(tblTermine[[#This Row],[Datum]])</f>
        <v>2029</v>
      </c>
    </row>
    <row r="104" spans="2:9" x14ac:dyDescent="0.25">
      <c r="B104" s="60">
        <v>47592</v>
      </c>
      <c r="C104" s="61" t="s">
        <v>4</v>
      </c>
      <c r="D104" s="61" t="s">
        <v>92</v>
      </c>
      <c r="E104" s="64"/>
      <c r="F104" s="63" cm="1">
        <f t="array" ref="F104">TerminArtId(tblTermine[[#This Row],[Terminart]], tblTermine[[#This Row],[Agent]])</f>
        <v>32</v>
      </c>
      <c r="G104" s="81" t="str" cm="1">
        <f t="array" ref="G104">TerminArtDisplay(tblTermine[[#This Row],[Terminart]], tblTermine[[#This Row],[Agent]])</f>
        <v>Feiertag</v>
      </c>
      <c r="H104" s="81" t="str" cm="1">
        <f t="array" ref="H104">MakeSearchTerm(tblTermine[[#This Row],[Mitarbeiter]], tblTermine[[#This Row],[Datum]])</f>
        <v>Schweitzer, Sven - 30-04-19</v>
      </c>
      <c r="I104" s="81">
        <f>YEAR(tblTermine[[#This Row],[Datum]])</f>
        <v>2030</v>
      </c>
    </row>
    <row r="105" spans="2:9" x14ac:dyDescent="0.25">
      <c r="B105" s="60">
        <v>47949</v>
      </c>
      <c r="C105" s="61" t="s">
        <v>4</v>
      </c>
      <c r="D105" s="61" t="s">
        <v>92</v>
      </c>
      <c r="E105" s="64"/>
      <c r="F105" s="63" cm="1">
        <f t="array" ref="F105">TerminArtId(tblTermine[[#This Row],[Terminart]], tblTermine[[#This Row],[Agent]])</f>
        <v>32</v>
      </c>
      <c r="G105" s="81" t="str" cm="1">
        <f t="array" ref="G105">TerminArtDisplay(tblTermine[[#This Row],[Terminart]], tblTermine[[#This Row],[Agent]])</f>
        <v>Feiertag</v>
      </c>
      <c r="H105" s="81" t="str" cm="1">
        <f t="array" ref="H105">MakeSearchTerm(tblTermine[[#This Row],[Mitarbeiter]], tblTermine[[#This Row],[Datum]])</f>
        <v>Schweitzer, Sven - 31-04-11</v>
      </c>
      <c r="I105" s="81">
        <f>YEAR(tblTermine[[#This Row],[Datum]])</f>
        <v>2031</v>
      </c>
    </row>
    <row r="106" spans="2:9" x14ac:dyDescent="0.25">
      <c r="B106" s="60">
        <v>48299</v>
      </c>
      <c r="C106" s="61" t="s">
        <v>4</v>
      </c>
      <c r="D106" s="61" t="s">
        <v>92</v>
      </c>
      <c r="E106" s="64"/>
      <c r="F106" s="63" cm="1">
        <f t="array" ref="F106">TerminArtId(tblTermine[[#This Row],[Terminart]], tblTermine[[#This Row],[Agent]])</f>
        <v>32</v>
      </c>
      <c r="G106" s="81" t="str" cm="1">
        <f t="array" ref="G106">TerminArtDisplay(tblTermine[[#This Row],[Terminart]], tblTermine[[#This Row],[Agent]])</f>
        <v>Feiertag</v>
      </c>
      <c r="H106" s="81" t="str" cm="1">
        <f t="array" ref="H106">MakeSearchTerm(tblTermine[[#This Row],[Mitarbeiter]], tblTermine[[#This Row],[Datum]])</f>
        <v>Schweitzer, Sven - 32-03-26</v>
      </c>
      <c r="I106" s="81">
        <f>YEAR(tblTermine[[#This Row],[Datum]])</f>
        <v>2032</v>
      </c>
    </row>
    <row r="107" spans="2:9" x14ac:dyDescent="0.25">
      <c r="B107" s="60">
        <v>45765</v>
      </c>
      <c r="C107" s="61" t="s">
        <v>6</v>
      </c>
      <c r="D107" s="61" t="s">
        <v>92</v>
      </c>
      <c r="E107" s="64"/>
      <c r="F107" s="63" cm="1">
        <f t="array" ref="F107">TerminArtId(tblTermine[[#This Row],[Terminart]], tblTermine[[#This Row],[Agent]])</f>
        <v>32</v>
      </c>
      <c r="G107" s="81" t="str" cm="1">
        <f t="array" ref="G107">TerminArtDisplay(tblTermine[[#This Row],[Terminart]], tblTermine[[#This Row],[Agent]])</f>
        <v>Feiertag</v>
      </c>
      <c r="H107" s="81" t="str" cm="1">
        <f t="array" ref="H107">MakeSearchTerm(tblTermine[[#This Row],[Mitarbeiter]], tblTermine[[#This Row],[Datum]])</f>
        <v>Weber, Joelle - 25-04-18</v>
      </c>
      <c r="I107" s="81">
        <f>YEAR(tblTermine[[#This Row],[Datum]])</f>
        <v>2025</v>
      </c>
    </row>
    <row r="108" spans="2:9" x14ac:dyDescent="0.25">
      <c r="B108" s="60">
        <v>46115</v>
      </c>
      <c r="C108" s="61" t="s">
        <v>6</v>
      </c>
      <c r="D108" s="61" t="s">
        <v>92</v>
      </c>
      <c r="E108" s="64"/>
      <c r="F108" s="63" cm="1">
        <f t="array" ref="F108">TerminArtId(tblTermine[[#This Row],[Terminart]], tblTermine[[#This Row],[Agent]])</f>
        <v>32</v>
      </c>
      <c r="G108" s="81" t="str" cm="1">
        <f t="array" ref="G108">TerminArtDisplay(tblTermine[[#This Row],[Terminart]], tblTermine[[#This Row],[Agent]])</f>
        <v>Feiertag</v>
      </c>
      <c r="H108" s="81" t="str" cm="1">
        <f t="array" ref="H108">MakeSearchTerm(tblTermine[[#This Row],[Mitarbeiter]], tblTermine[[#This Row],[Datum]])</f>
        <v>Weber, Joelle - 26-04-03</v>
      </c>
      <c r="I108" s="81">
        <f>YEAR(tblTermine[[#This Row],[Datum]])</f>
        <v>2026</v>
      </c>
    </row>
    <row r="109" spans="2:9" x14ac:dyDescent="0.25">
      <c r="B109" s="60">
        <v>46472</v>
      </c>
      <c r="C109" s="61" t="s">
        <v>6</v>
      </c>
      <c r="D109" s="61" t="s">
        <v>92</v>
      </c>
      <c r="E109" s="64"/>
      <c r="F109" s="63" cm="1">
        <f t="array" ref="F109">TerminArtId(tblTermine[[#This Row],[Terminart]], tblTermine[[#This Row],[Agent]])</f>
        <v>32</v>
      </c>
      <c r="G109" s="81" t="str" cm="1">
        <f t="array" ref="G109">TerminArtDisplay(tblTermine[[#This Row],[Terminart]], tblTermine[[#This Row],[Agent]])</f>
        <v>Feiertag</v>
      </c>
      <c r="H109" s="81" t="str" cm="1">
        <f t="array" ref="H109">MakeSearchTerm(tblTermine[[#This Row],[Mitarbeiter]], tblTermine[[#This Row],[Datum]])</f>
        <v>Weber, Joelle - 27-03-26</v>
      </c>
      <c r="I109" s="81">
        <f>YEAR(tblTermine[[#This Row],[Datum]])</f>
        <v>2027</v>
      </c>
    </row>
    <row r="110" spans="2:9" x14ac:dyDescent="0.25">
      <c r="B110" s="60">
        <v>46857</v>
      </c>
      <c r="C110" s="61" t="s">
        <v>6</v>
      </c>
      <c r="D110" s="61" t="s">
        <v>92</v>
      </c>
      <c r="E110" s="64"/>
      <c r="F110" s="63" cm="1">
        <f t="array" ref="F110">TerminArtId(tblTermine[[#This Row],[Terminart]], tblTermine[[#This Row],[Agent]])</f>
        <v>32</v>
      </c>
      <c r="G110" s="81" t="str" cm="1">
        <f t="array" ref="G110">TerminArtDisplay(tblTermine[[#This Row],[Terminart]], tblTermine[[#This Row],[Agent]])</f>
        <v>Feiertag</v>
      </c>
      <c r="H110" s="81" t="str" cm="1">
        <f t="array" ref="H110">MakeSearchTerm(tblTermine[[#This Row],[Mitarbeiter]], tblTermine[[#This Row],[Datum]])</f>
        <v>Weber, Joelle - 28-04-14</v>
      </c>
      <c r="I110" s="81">
        <f>YEAR(tblTermine[[#This Row],[Datum]])</f>
        <v>2028</v>
      </c>
    </row>
    <row r="111" spans="2:9" x14ac:dyDescent="0.25">
      <c r="B111" s="60">
        <v>47207</v>
      </c>
      <c r="C111" s="61" t="s">
        <v>6</v>
      </c>
      <c r="D111" s="61" t="s">
        <v>92</v>
      </c>
      <c r="E111" s="64"/>
      <c r="F111" s="63" cm="1">
        <f t="array" ref="F111">TerminArtId(tblTermine[[#This Row],[Terminart]], tblTermine[[#This Row],[Agent]])</f>
        <v>32</v>
      </c>
      <c r="G111" s="81" t="str" cm="1">
        <f t="array" ref="G111">TerminArtDisplay(tblTermine[[#This Row],[Terminart]], tblTermine[[#This Row],[Agent]])</f>
        <v>Feiertag</v>
      </c>
      <c r="H111" s="81" t="str" cm="1">
        <f t="array" ref="H111">MakeSearchTerm(tblTermine[[#This Row],[Mitarbeiter]], tblTermine[[#This Row],[Datum]])</f>
        <v>Weber, Joelle - 29-03-30</v>
      </c>
      <c r="I111" s="81">
        <f>YEAR(tblTermine[[#This Row],[Datum]])</f>
        <v>2029</v>
      </c>
    </row>
    <row r="112" spans="2:9" x14ac:dyDescent="0.25">
      <c r="B112" s="60">
        <v>47592</v>
      </c>
      <c r="C112" s="61" t="s">
        <v>6</v>
      </c>
      <c r="D112" s="61" t="s">
        <v>92</v>
      </c>
      <c r="E112" s="64"/>
      <c r="F112" s="63" cm="1">
        <f t="array" ref="F112">TerminArtId(tblTermine[[#This Row],[Terminart]], tblTermine[[#This Row],[Agent]])</f>
        <v>32</v>
      </c>
      <c r="G112" s="81" t="str" cm="1">
        <f t="array" ref="G112">TerminArtDisplay(tblTermine[[#This Row],[Terminart]], tblTermine[[#This Row],[Agent]])</f>
        <v>Feiertag</v>
      </c>
      <c r="H112" s="81" t="str" cm="1">
        <f t="array" ref="H112">MakeSearchTerm(tblTermine[[#This Row],[Mitarbeiter]], tblTermine[[#This Row],[Datum]])</f>
        <v>Weber, Joelle - 30-04-19</v>
      </c>
      <c r="I112" s="81">
        <f>YEAR(tblTermine[[#This Row],[Datum]])</f>
        <v>2030</v>
      </c>
    </row>
    <row r="113" spans="2:9" x14ac:dyDescent="0.25">
      <c r="B113" s="60">
        <v>47949</v>
      </c>
      <c r="C113" s="61" t="s">
        <v>6</v>
      </c>
      <c r="D113" s="61" t="s">
        <v>92</v>
      </c>
      <c r="E113" s="64"/>
      <c r="F113" s="63" cm="1">
        <f t="array" ref="F113">TerminArtId(tblTermine[[#This Row],[Terminart]], tblTermine[[#This Row],[Agent]])</f>
        <v>32</v>
      </c>
      <c r="G113" s="81" t="str" cm="1">
        <f t="array" ref="G113">TerminArtDisplay(tblTermine[[#This Row],[Terminart]], tblTermine[[#This Row],[Agent]])</f>
        <v>Feiertag</v>
      </c>
      <c r="H113" s="81" t="str" cm="1">
        <f t="array" ref="H113">MakeSearchTerm(tblTermine[[#This Row],[Mitarbeiter]], tblTermine[[#This Row],[Datum]])</f>
        <v>Weber, Joelle - 31-04-11</v>
      </c>
      <c r="I113" s="81">
        <f>YEAR(tblTermine[[#This Row],[Datum]])</f>
        <v>2031</v>
      </c>
    </row>
    <row r="114" spans="2:9" x14ac:dyDescent="0.25">
      <c r="B114" s="60">
        <v>48299</v>
      </c>
      <c r="C114" s="61" t="s">
        <v>6</v>
      </c>
      <c r="D114" s="61" t="s">
        <v>92</v>
      </c>
      <c r="E114" s="64"/>
      <c r="F114" s="63" cm="1">
        <f t="array" ref="F114">TerminArtId(tblTermine[[#This Row],[Terminart]], tblTermine[[#This Row],[Agent]])</f>
        <v>32</v>
      </c>
      <c r="G114" s="81" t="str" cm="1">
        <f t="array" ref="G114">TerminArtDisplay(tblTermine[[#This Row],[Terminart]], tblTermine[[#This Row],[Agent]])</f>
        <v>Feiertag</v>
      </c>
      <c r="H114" s="81" t="str" cm="1">
        <f t="array" ref="H114">MakeSearchTerm(tblTermine[[#This Row],[Mitarbeiter]], tblTermine[[#This Row],[Datum]])</f>
        <v>Weber, Joelle - 32-03-26</v>
      </c>
      <c r="I114" s="81">
        <f>YEAR(tblTermine[[#This Row],[Datum]])</f>
        <v>2032</v>
      </c>
    </row>
    <row r="115" spans="2:9" x14ac:dyDescent="0.25">
      <c r="B115" s="60">
        <v>45768</v>
      </c>
      <c r="C115" s="61" t="s">
        <v>1</v>
      </c>
      <c r="D115" s="61" t="s">
        <v>92</v>
      </c>
      <c r="E115" s="64"/>
      <c r="F115" s="63" cm="1">
        <f t="array" ref="F115">TerminArtId(tblTermine[[#This Row],[Terminart]], tblTermine[[#This Row],[Agent]])</f>
        <v>32</v>
      </c>
      <c r="G115" s="81" t="str" cm="1">
        <f t="array" ref="G115">TerminArtDisplay(tblTermine[[#This Row],[Terminart]], tblTermine[[#This Row],[Agent]])</f>
        <v>Feiertag</v>
      </c>
      <c r="H115" s="81" t="str" cm="1">
        <f t="array" ref="H115">MakeSearchTerm(tblTermine[[#This Row],[Mitarbeiter]], tblTermine[[#This Row],[Datum]])</f>
        <v>Lehrmann, Marcel - 25-04-21</v>
      </c>
      <c r="I115" s="81">
        <f>YEAR(tblTermine[[#This Row],[Datum]])</f>
        <v>2025</v>
      </c>
    </row>
    <row r="116" spans="2:9" x14ac:dyDescent="0.25">
      <c r="B116" s="60">
        <v>46118</v>
      </c>
      <c r="C116" s="61" t="s">
        <v>1</v>
      </c>
      <c r="D116" s="61" t="s">
        <v>92</v>
      </c>
      <c r="E116" s="64"/>
      <c r="F116" s="63" cm="1">
        <f t="array" ref="F116">TerminArtId(tblTermine[[#This Row],[Terminart]], tblTermine[[#This Row],[Agent]])</f>
        <v>32</v>
      </c>
      <c r="G116" s="81" t="str" cm="1">
        <f t="array" ref="G116">TerminArtDisplay(tblTermine[[#This Row],[Terminart]], tblTermine[[#This Row],[Agent]])</f>
        <v>Feiertag</v>
      </c>
      <c r="H116" s="81" t="str" cm="1">
        <f t="array" ref="H116">MakeSearchTerm(tblTermine[[#This Row],[Mitarbeiter]], tblTermine[[#This Row],[Datum]])</f>
        <v>Lehrmann, Marcel - 26-04-06</v>
      </c>
      <c r="I116" s="81">
        <f>YEAR(tblTermine[[#This Row],[Datum]])</f>
        <v>2026</v>
      </c>
    </row>
    <row r="117" spans="2:9" x14ac:dyDescent="0.25">
      <c r="B117" s="60">
        <v>46475</v>
      </c>
      <c r="C117" s="61" t="s">
        <v>1</v>
      </c>
      <c r="D117" s="61" t="s">
        <v>92</v>
      </c>
      <c r="E117" s="64"/>
      <c r="F117" s="63" cm="1">
        <f t="array" ref="F117">TerminArtId(tblTermine[[#This Row],[Terminart]], tblTermine[[#This Row],[Agent]])</f>
        <v>32</v>
      </c>
      <c r="G117" s="81" t="str" cm="1">
        <f t="array" ref="G117">TerminArtDisplay(tblTermine[[#This Row],[Terminart]], tblTermine[[#This Row],[Agent]])</f>
        <v>Feiertag</v>
      </c>
      <c r="H117" s="81" t="str" cm="1">
        <f t="array" ref="H117">MakeSearchTerm(tblTermine[[#This Row],[Mitarbeiter]], tblTermine[[#This Row],[Datum]])</f>
        <v>Lehrmann, Marcel - 27-03-29</v>
      </c>
      <c r="I117" s="81">
        <f>YEAR(tblTermine[[#This Row],[Datum]])</f>
        <v>2027</v>
      </c>
    </row>
    <row r="118" spans="2:9" x14ac:dyDescent="0.25">
      <c r="B118" s="60">
        <v>46860</v>
      </c>
      <c r="C118" s="61" t="s">
        <v>1</v>
      </c>
      <c r="D118" s="61" t="s">
        <v>92</v>
      </c>
      <c r="E118" s="64"/>
      <c r="F118" s="63" cm="1">
        <f t="array" ref="F118">TerminArtId(tblTermine[[#This Row],[Terminart]], tblTermine[[#This Row],[Agent]])</f>
        <v>32</v>
      </c>
      <c r="G118" s="81" t="str" cm="1">
        <f t="array" ref="G118">TerminArtDisplay(tblTermine[[#This Row],[Terminart]], tblTermine[[#This Row],[Agent]])</f>
        <v>Feiertag</v>
      </c>
      <c r="H118" s="81" t="str" cm="1">
        <f t="array" ref="H118">MakeSearchTerm(tblTermine[[#This Row],[Mitarbeiter]], tblTermine[[#This Row],[Datum]])</f>
        <v>Lehrmann, Marcel - 28-04-17</v>
      </c>
      <c r="I118" s="81">
        <f>YEAR(tblTermine[[#This Row],[Datum]])</f>
        <v>2028</v>
      </c>
    </row>
    <row r="119" spans="2:9" x14ac:dyDescent="0.25">
      <c r="B119" s="60">
        <v>47210</v>
      </c>
      <c r="C119" s="61" t="s">
        <v>1</v>
      </c>
      <c r="D119" s="61" t="s">
        <v>92</v>
      </c>
      <c r="E119" s="64"/>
      <c r="F119" s="63" cm="1">
        <f t="array" ref="F119">TerminArtId(tblTermine[[#This Row],[Terminart]], tblTermine[[#This Row],[Agent]])</f>
        <v>32</v>
      </c>
      <c r="G119" s="81" t="str" cm="1">
        <f t="array" ref="G119">TerminArtDisplay(tblTermine[[#This Row],[Terminart]], tblTermine[[#This Row],[Agent]])</f>
        <v>Feiertag</v>
      </c>
      <c r="H119" s="81" t="str" cm="1">
        <f t="array" ref="H119">MakeSearchTerm(tblTermine[[#This Row],[Mitarbeiter]], tblTermine[[#This Row],[Datum]])</f>
        <v>Lehrmann, Marcel - 29-04-02</v>
      </c>
      <c r="I119" s="81">
        <f>YEAR(tblTermine[[#This Row],[Datum]])</f>
        <v>2029</v>
      </c>
    </row>
    <row r="120" spans="2:9" x14ac:dyDescent="0.25">
      <c r="B120" s="60">
        <v>47595</v>
      </c>
      <c r="C120" s="61" t="s">
        <v>1</v>
      </c>
      <c r="D120" s="61" t="s">
        <v>92</v>
      </c>
      <c r="E120" s="64"/>
      <c r="F120" s="63" cm="1">
        <f t="array" ref="F120">TerminArtId(tblTermine[[#This Row],[Terminart]], tblTermine[[#This Row],[Agent]])</f>
        <v>32</v>
      </c>
      <c r="G120" s="81" t="str" cm="1">
        <f t="array" ref="G120">TerminArtDisplay(tblTermine[[#This Row],[Terminart]], tblTermine[[#This Row],[Agent]])</f>
        <v>Feiertag</v>
      </c>
      <c r="H120" s="81" t="str" cm="1">
        <f t="array" ref="H120">MakeSearchTerm(tblTermine[[#This Row],[Mitarbeiter]], tblTermine[[#This Row],[Datum]])</f>
        <v>Lehrmann, Marcel - 30-04-22</v>
      </c>
      <c r="I120" s="81">
        <f>YEAR(tblTermine[[#This Row],[Datum]])</f>
        <v>2030</v>
      </c>
    </row>
    <row r="121" spans="2:9" x14ac:dyDescent="0.25">
      <c r="B121" s="60">
        <v>47952</v>
      </c>
      <c r="C121" s="61" t="s">
        <v>1</v>
      </c>
      <c r="D121" s="61" t="s">
        <v>92</v>
      </c>
      <c r="E121" s="64"/>
      <c r="F121" s="63" cm="1">
        <f t="array" ref="F121">TerminArtId(tblTermine[[#This Row],[Terminart]], tblTermine[[#This Row],[Agent]])</f>
        <v>32</v>
      </c>
      <c r="G121" s="81" t="str" cm="1">
        <f t="array" ref="G121">TerminArtDisplay(tblTermine[[#This Row],[Terminart]], tblTermine[[#This Row],[Agent]])</f>
        <v>Feiertag</v>
      </c>
      <c r="H121" s="81" t="str" cm="1">
        <f t="array" ref="H121">MakeSearchTerm(tblTermine[[#This Row],[Mitarbeiter]], tblTermine[[#This Row],[Datum]])</f>
        <v>Lehrmann, Marcel - 31-04-14</v>
      </c>
      <c r="I121" s="81">
        <f>YEAR(tblTermine[[#This Row],[Datum]])</f>
        <v>2031</v>
      </c>
    </row>
    <row r="122" spans="2:9" x14ac:dyDescent="0.25">
      <c r="B122" s="60">
        <v>48302</v>
      </c>
      <c r="C122" s="61" t="s">
        <v>1</v>
      </c>
      <c r="D122" s="61" t="s">
        <v>92</v>
      </c>
      <c r="E122" s="64"/>
      <c r="F122" s="63" cm="1">
        <f t="array" ref="F122">TerminArtId(tblTermine[[#This Row],[Terminart]], tblTermine[[#This Row],[Agent]])</f>
        <v>32</v>
      </c>
      <c r="G122" s="81" t="str" cm="1">
        <f t="array" ref="G122">TerminArtDisplay(tblTermine[[#This Row],[Terminart]], tblTermine[[#This Row],[Agent]])</f>
        <v>Feiertag</v>
      </c>
      <c r="H122" s="81" t="str" cm="1">
        <f t="array" ref="H122">MakeSearchTerm(tblTermine[[#This Row],[Mitarbeiter]], tblTermine[[#This Row],[Datum]])</f>
        <v>Lehrmann, Marcel - 32-03-29</v>
      </c>
      <c r="I122" s="81">
        <f>YEAR(tblTermine[[#This Row],[Datum]])</f>
        <v>2032</v>
      </c>
    </row>
    <row r="123" spans="2:9" x14ac:dyDescent="0.25">
      <c r="B123" s="60">
        <v>45768</v>
      </c>
      <c r="C123" s="61" t="s">
        <v>3</v>
      </c>
      <c r="D123" s="61" t="s">
        <v>92</v>
      </c>
      <c r="E123" s="64"/>
      <c r="F123" s="63" cm="1">
        <f t="array" ref="F123">TerminArtId(tblTermine[[#This Row],[Terminart]], tblTermine[[#This Row],[Agent]])</f>
        <v>32</v>
      </c>
      <c r="G123" s="81" t="str" cm="1">
        <f t="array" ref="G123">TerminArtDisplay(tblTermine[[#This Row],[Terminart]], tblTermine[[#This Row],[Agent]])</f>
        <v>Feiertag</v>
      </c>
      <c r="H123" s="81" t="str" cm="1">
        <f t="array" ref="H123">MakeSearchTerm(tblTermine[[#This Row],[Mitarbeiter]], tblTermine[[#This Row],[Datum]])</f>
        <v>Plottek, André - 25-04-21</v>
      </c>
      <c r="I123" s="81">
        <f>YEAR(tblTermine[[#This Row],[Datum]])</f>
        <v>2025</v>
      </c>
    </row>
    <row r="124" spans="2:9" x14ac:dyDescent="0.25">
      <c r="B124" s="60">
        <v>46118</v>
      </c>
      <c r="C124" s="61" t="s">
        <v>3</v>
      </c>
      <c r="D124" s="61" t="s">
        <v>92</v>
      </c>
      <c r="E124" s="64"/>
      <c r="F124" s="63" cm="1">
        <f t="array" ref="F124">TerminArtId(tblTermine[[#This Row],[Terminart]], tblTermine[[#This Row],[Agent]])</f>
        <v>32</v>
      </c>
      <c r="G124" s="81" t="str" cm="1">
        <f t="array" ref="G124">TerminArtDisplay(tblTermine[[#This Row],[Terminart]], tblTermine[[#This Row],[Agent]])</f>
        <v>Feiertag</v>
      </c>
      <c r="H124" s="81" t="str" cm="1">
        <f t="array" ref="H124">MakeSearchTerm(tblTermine[[#This Row],[Mitarbeiter]], tblTermine[[#This Row],[Datum]])</f>
        <v>Plottek, André - 26-04-06</v>
      </c>
      <c r="I124" s="81">
        <f>YEAR(tblTermine[[#This Row],[Datum]])</f>
        <v>2026</v>
      </c>
    </row>
    <row r="125" spans="2:9" x14ac:dyDescent="0.25">
      <c r="B125" s="60">
        <v>46475</v>
      </c>
      <c r="C125" s="61" t="s">
        <v>3</v>
      </c>
      <c r="D125" s="61" t="s">
        <v>92</v>
      </c>
      <c r="E125" s="64"/>
      <c r="F125" s="63" cm="1">
        <f t="array" ref="F125">TerminArtId(tblTermine[[#This Row],[Terminart]], tblTermine[[#This Row],[Agent]])</f>
        <v>32</v>
      </c>
      <c r="G125" s="81" t="str" cm="1">
        <f t="array" ref="G125">TerminArtDisplay(tblTermine[[#This Row],[Terminart]], tblTermine[[#This Row],[Agent]])</f>
        <v>Feiertag</v>
      </c>
      <c r="H125" s="81" t="str" cm="1">
        <f t="array" ref="H125">MakeSearchTerm(tblTermine[[#This Row],[Mitarbeiter]], tblTermine[[#This Row],[Datum]])</f>
        <v>Plottek, André - 27-03-29</v>
      </c>
      <c r="I125" s="81">
        <f>YEAR(tblTermine[[#This Row],[Datum]])</f>
        <v>2027</v>
      </c>
    </row>
    <row r="126" spans="2:9" x14ac:dyDescent="0.25">
      <c r="B126" s="60">
        <v>46860</v>
      </c>
      <c r="C126" s="61" t="s">
        <v>3</v>
      </c>
      <c r="D126" s="61" t="s">
        <v>92</v>
      </c>
      <c r="E126" s="64"/>
      <c r="F126" s="63" cm="1">
        <f t="array" ref="F126">TerminArtId(tblTermine[[#This Row],[Terminart]], tblTermine[[#This Row],[Agent]])</f>
        <v>32</v>
      </c>
      <c r="G126" s="81" t="str" cm="1">
        <f t="array" ref="G126">TerminArtDisplay(tblTermine[[#This Row],[Terminart]], tblTermine[[#This Row],[Agent]])</f>
        <v>Feiertag</v>
      </c>
      <c r="H126" s="81" t="str" cm="1">
        <f t="array" ref="H126">MakeSearchTerm(tblTermine[[#This Row],[Mitarbeiter]], tblTermine[[#This Row],[Datum]])</f>
        <v>Plottek, André - 28-04-17</v>
      </c>
      <c r="I126" s="81">
        <f>YEAR(tblTermine[[#This Row],[Datum]])</f>
        <v>2028</v>
      </c>
    </row>
    <row r="127" spans="2:9" x14ac:dyDescent="0.25">
      <c r="B127" s="60">
        <v>47210</v>
      </c>
      <c r="C127" s="61" t="s">
        <v>3</v>
      </c>
      <c r="D127" s="61" t="s">
        <v>92</v>
      </c>
      <c r="E127" s="64"/>
      <c r="F127" s="63" cm="1">
        <f t="array" ref="F127">TerminArtId(tblTermine[[#This Row],[Terminart]], tblTermine[[#This Row],[Agent]])</f>
        <v>32</v>
      </c>
      <c r="G127" s="81" t="str" cm="1">
        <f t="array" ref="G127">TerminArtDisplay(tblTermine[[#This Row],[Terminart]], tblTermine[[#This Row],[Agent]])</f>
        <v>Feiertag</v>
      </c>
      <c r="H127" s="81" t="str" cm="1">
        <f t="array" ref="H127">MakeSearchTerm(tblTermine[[#This Row],[Mitarbeiter]], tblTermine[[#This Row],[Datum]])</f>
        <v>Plottek, André - 29-04-02</v>
      </c>
      <c r="I127" s="81">
        <f>YEAR(tblTermine[[#This Row],[Datum]])</f>
        <v>2029</v>
      </c>
    </row>
    <row r="128" spans="2:9" x14ac:dyDescent="0.25">
      <c r="B128" s="60">
        <v>47595</v>
      </c>
      <c r="C128" s="61" t="s">
        <v>3</v>
      </c>
      <c r="D128" s="61" t="s">
        <v>92</v>
      </c>
      <c r="E128" s="64"/>
      <c r="F128" s="63" cm="1">
        <f t="array" ref="F128">TerminArtId(tblTermine[[#This Row],[Terminart]], tblTermine[[#This Row],[Agent]])</f>
        <v>32</v>
      </c>
      <c r="G128" s="81" t="str" cm="1">
        <f t="array" ref="G128">TerminArtDisplay(tblTermine[[#This Row],[Terminart]], tblTermine[[#This Row],[Agent]])</f>
        <v>Feiertag</v>
      </c>
      <c r="H128" s="81" t="str" cm="1">
        <f t="array" ref="H128">MakeSearchTerm(tblTermine[[#This Row],[Mitarbeiter]], tblTermine[[#This Row],[Datum]])</f>
        <v>Plottek, André - 30-04-22</v>
      </c>
      <c r="I128" s="81">
        <f>YEAR(tblTermine[[#This Row],[Datum]])</f>
        <v>2030</v>
      </c>
    </row>
    <row r="129" spans="2:9" x14ac:dyDescent="0.25">
      <c r="B129" s="60">
        <v>47952</v>
      </c>
      <c r="C129" s="61" t="s">
        <v>3</v>
      </c>
      <c r="D129" s="61" t="s">
        <v>92</v>
      </c>
      <c r="E129" s="64"/>
      <c r="F129" s="63" cm="1">
        <f t="array" ref="F129">TerminArtId(tblTermine[[#This Row],[Terminart]], tblTermine[[#This Row],[Agent]])</f>
        <v>32</v>
      </c>
      <c r="G129" s="81" t="str" cm="1">
        <f t="array" ref="G129">TerminArtDisplay(tblTermine[[#This Row],[Terminart]], tblTermine[[#This Row],[Agent]])</f>
        <v>Feiertag</v>
      </c>
      <c r="H129" s="81" t="str" cm="1">
        <f t="array" ref="H129">MakeSearchTerm(tblTermine[[#This Row],[Mitarbeiter]], tblTermine[[#This Row],[Datum]])</f>
        <v>Plottek, André - 31-04-14</v>
      </c>
      <c r="I129" s="81">
        <f>YEAR(tblTermine[[#This Row],[Datum]])</f>
        <v>2031</v>
      </c>
    </row>
    <row r="130" spans="2:9" x14ac:dyDescent="0.25">
      <c r="B130" s="60">
        <v>48302</v>
      </c>
      <c r="C130" s="61" t="s">
        <v>3</v>
      </c>
      <c r="D130" s="61" t="s">
        <v>92</v>
      </c>
      <c r="E130" s="64"/>
      <c r="F130" s="63" cm="1">
        <f t="array" ref="F130">TerminArtId(tblTermine[[#This Row],[Terminart]], tblTermine[[#This Row],[Agent]])</f>
        <v>32</v>
      </c>
      <c r="G130" s="81" t="str" cm="1">
        <f t="array" ref="G130">TerminArtDisplay(tblTermine[[#This Row],[Terminart]], tblTermine[[#This Row],[Agent]])</f>
        <v>Feiertag</v>
      </c>
      <c r="H130" s="81" t="str" cm="1">
        <f t="array" ref="H130">MakeSearchTerm(tblTermine[[#This Row],[Mitarbeiter]], tblTermine[[#This Row],[Datum]])</f>
        <v>Plottek, André - 32-03-29</v>
      </c>
      <c r="I130" s="81">
        <f>YEAR(tblTermine[[#This Row],[Datum]])</f>
        <v>2032</v>
      </c>
    </row>
    <row r="131" spans="2:9" x14ac:dyDescent="0.25">
      <c r="B131" s="60">
        <v>45768</v>
      </c>
      <c r="C131" s="61" t="s">
        <v>4</v>
      </c>
      <c r="D131" s="61" t="s">
        <v>92</v>
      </c>
      <c r="E131" s="64"/>
      <c r="F131" s="63" cm="1">
        <f t="array" ref="F131">TerminArtId(tblTermine[[#This Row],[Terminart]], tblTermine[[#This Row],[Agent]])</f>
        <v>32</v>
      </c>
      <c r="G131" s="81" t="str" cm="1">
        <f t="array" ref="G131">TerminArtDisplay(tblTermine[[#This Row],[Terminart]], tblTermine[[#This Row],[Agent]])</f>
        <v>Feiertag</v>
      </c>
      <c r="H131" s="81" t="str" cm="1">
        <f t="array" ref="H131">MakeSearchTerm(tblTermine[[#This Row],[Mitarbeiter]], tblTermine[[#This Row],[Datum]])</f>
        <v>Schweitzer, Sven - 25-04-21</v>
      </c>
      <c r="I131" s="81">
        <f>YEAR(tblTermine[[#This Row],[Datum]])</f>
        <v>2025</v>
      </c>
    </row>
    <row r="132" spans="2:9" x14ac:dyDescent="0.25">
      <c r="B132" s="60">
        <v>46118</v>
      </c>
      <c r="C132" s="61" t="s">
        <v>4</v>
      </c>
      <c r="D132" s="61" t="s">
        <v>92</v>
      </c>
      <c r="E132" s="64"/>
      <c r="F132" s="63" cm="1">
        <f t="array" ref="F132">TerminArtId(tblTermine[[#This Row],[Terminart]], tblTermine[[#This Row],[Agent]])</f>
        <v>32</v>
      </c>
      <c r="G132" s="81" t="str" cm="1">
        <f t="array" ref="G132">TerminArtDisplay(tblTermine[[#This Row],[Terminart]], tblTermine[[#This Row],[Agent]])</f>
        <v>Feiertag</v>
      </c>
      <c r="H132" s="81" t="str" cm="1">
        <f t="array" ref="H132">MakeSearchTerm(tblTermine[[#This Row],[Mitarbeiter]], tblTermine[[#This Row],[Datum]])</f>
        <v>Schweitzer, Sven - 26-04-06</v>
      </c>
      <c r="I132" s="81">
        <f>YEAR(tblTermine[[#This Row],[Datum]])</f>
        <v>2026</v>
      </c>
    </row>
    <row r="133" spans="2:9" x14ac:dyDescent="0.25">
      <c r="B133" s="60">
        <v>46475</v>
      </c>
      <c r="C133" s="61" t="s">
        <v>4</v>
      </c>
      <c r="D133" s="61" t="s">
        <v>92</v>
      </c>
      <c r="E133" s="64"/>
      <c r="F133" s="63" cm="1">
        <f t="array" ref="F133">TerminArtId(tblTermine[[#This Row],[Terminart]], tblTermine[[#This Row],[Agent]])</f>
        <v>32</v>
      </c>
      <c r="G133" s="81" t="str" cm="1">
        <f t="array" ref="G133">TerminArtDisplay(tblTermine[[#This Row],[Terminart]], tblTermine[[#This Row],[Agent]])</f>
        <v>Feiertag</v>
      </c>
      <c r="H133" s="81" t="str" cm="1">
        <f t="array" ref="H133">MakeSearchTerm(tblTermine[[#This Row],[Mitarbeiter]], tblTermine[[#This Row],[Datum]])</f>
        <v>Schweitzer, Sven - 27-03-29</v>
      </c>
      <c r="I133" s="81">
        <f>YEAR(tblTermine[[#This Row],[Datum]])</f>
        <v>2027</v>
      </c>
    </row>
    <row r="134" spans="2:9" x14ac:dyDescent="0.25">
      <c r="B134" s="60">
        <v>46860</v>
      </c>
      <c r="C134" s="61" t="s">
        <v>4</v>
      </c>
      <c r="D134" s="61" t="s">
        <v>92</v>
      </c>
      <c r="E134" s="64"/>
      <c r="F134" s="63" cm="1">
        <f t="array" ref="F134">TerminArtId(tblTermine[[#This Row],[Terminart]], tblTermine[[#This Row],[Agent]])</f>
        <v>32</v>
      </c>
      <c r="G134" s="81" t="str" cm="1">
        <f t="array" ref="G134">TerminArtDisplay(tblTermine[[#This Row],[Terminart]], tblTermine[[#This Row],[Agent]])</f>
        <v>Feiertag</v>
      </c>
      <c r="H134" s="81" t="str" cm="1">
        <f t="array" ref="H134">MakeSearchTerm(tblTermine[[#This Row],[Mitarbeiter]], tblTermine[[#This Row],[Datum]])</f>
        <v>Schweitzer, Sven - 28-04-17</v>
      </c>
      <c r="I134" s="81">
        <f>YEAR(tblTermine[[#This Row],[Datum]])</f>
        <v>2028</v>
      </c>
    </row>
    <row r="135" spans="2:9" x14ac:dyDescent="0.25">
      <c r="B135" s="60">
        <v>47210</v>
      </c>
      <c r="C135" s="61" t="s">
        <v>4</v>
      </c>
      <c r="D135" s="61" t="s">
        <v>92</v>
      </c>
      <c r="E135" s="64"/>
      <c r="F135" s="63" cm="1">
        <f t="array" ref="F135">TerminArtId(tblTermine[[#This Row],[Terminart]], tblTermine[[#This Row],[Agent]])</f>
        <v>32</v>
      </c>
      <c r="G135" s="81" t="str" cm="1">
        <f t="array" ref="G135">TerminArtDisplay(tblTermine[[#This Row],[Terminart]], tblTermine[[#This Row],[Agent]])</f>
        <v>Feiertag</v>
      </c>
      <c r="H135" s="81" t="str" cm="1">
        <f t="array" ref="H135">MakeSearchTerm(tblTermine[[#This Row],[Mitarbeiter]], tblTermine[[#This Row],[Datum]])</f>
        <v>Schweitzer, Sven - 29-04-02</v>
      </c>
      <c r="I135" s="81">
        <f>YEAR(tblTermine[[#This Row],[Datum]])</f>
        <v>2029</v>
      </c>
    </row>
    <row r="136" spans="2:9" x14ac:dyDescent="0.25">
      <c r="B136" s="60">
        <v>47595</v>
      </c>
      <c r="C136" s="61" t="s">
        <v>4</v>
      </c>
      <c r="D136" s="61" t="s">
        <v>92</v>
      </c>
      <c r="E136" s="64"/>
      <c r="F136" s="63" cm="1">
        <f t="array" ref="F136">TerminArtId(tblTermine[[#This Row],[Terminart]], tblTermine[[#This Row],[Agent]])</f>
        <v>32</v>
      </c>
      <c r="G136" s="81" t="str" cm="1">
        <f t="array" ref="G136">TerminArtDisplay(tblTermine[[#This Row],[Terminart]], tblTermine[[#This Row],[Agent]])</f>
        <v>Feiertag</v>
      </c>
      <c r="H136" s="81" t="str" cm="1">
        <f t="array" ref="H136">MakeSearchTerm(tblTermine[[#This Row],[Mitarbeiter]], tblTermine[[#This Row],[Datum]])</f>
        <v>Schweitzer, Sven - 30-04-22</v>
      </c>
      <c r="I136" s="81">
        <f>YEAR(tblTermine[[#This Row],[Datum]])</f>
        <v>2030</v>
      </c>
    </row>
    <row r="137" spans="2:9" x14ac:dyDescent="0.25">
      <c r="B137" s="60">
        <v>47952</v>
      </c>
      <c r="C137" s="61" t="s">
        <v>4</v>
      </c>
      <c r="D137" s="61" t="s">
        <v>92</v>
      </c>
      <c r="E137" s="64"/>
      <c r="F137" s="63" cm="1">
        <f t="array" ref="F137">TerminArtId(tblTermine[[#This Row],[Terminart]], tblTermine[[#This Row],[Agent]])</f>
        <v>32</v>
      </c>
      <c r="G137" s="81" t="str" cm="1">
        <f t="array" ref="G137">TerminArtDisplay(tblTermine[[#This Row],[Terminart]], tblTermine[[#This Row],[Agent]])</f>
        <v>Feiertag</v>
      </c>
      <c r="H137" s="81" t="str" cm="1">
        <f t="array" ref="H137">MakeSearchTerm(tblTermine[[#This Row],[Mitarbeiter]], tblTermine[[#This Row],[Datum]])</f>
        <v>Schweitzer, Sven - 31-04-14</v>
      </c>
      <c r="I137" s="81">
        <f>YEAR(tblTermine[[#This Row],[Datum]])</f>
        <v>2031</v>
      </c>
    </row>
    <row r="138" spans="2:9" x14ac:dyDescent="0.25">
      <c r="B138" s="60">
        <v>48302</v>
      </c>
      <c r="C138" s="61" t="s">
        <v>4</v>
      </c>
      <c r="D138" s="61" t="s">
        <v>92</v>
      </c>
      <c r="E138" s="64"/>
      <c r="F138" s="63" cm="1">
        <f t="array" ref="F138">TerminArtId(tblTermine[[#This Row],[Terminart]], tblTermine[[#This Row],[Agent]])</f>
        <v>32</v>
      </c>
      <c r="G138" s="81" t="str" cm="1">
        <f t="array" ref="G138">TerminArtDisplay(tblTermine[[#This Row],[Terminart]], tblTermine[[#This Row],[Agent]])</f>
        <v>Feiertag</v>
      </c>
      <c r="H138" s="81" t="str" cm="1">
        <f t="array" ref="H138">MakeSearchTerm(tblTermine[[#This Row],[Mitarbeiter]], tblTermine[[#This Row],[Datum]])</f>
        <v>Schweitzer, Sven - 32-03-29</v>
      </c>
      <c r="I138" s="81">
        <f>YEAR(tblTermine[[#This Row],[Datum]])</f>
        <v>2032</v>
      </c>
    </row>
    <row r="139" spans="2:9" x14ac:dyDescent="0.25">
      <c r="B139" s="60">
        <v>45768</v>
      </c>
      <c r="C139" s="61" t="s">
        <v>6</v>
      </c>
      <c r="D139" s="61" t="s">
        <v>92</v>
      </c>
      <c r="E139" s="64"/>
      <c r="F139" s="63" cm="1">
        <f t="array" ref="F139">TerminArtId(tblTermine[[#This Row],[Terminart]], tblTermine[[#This Row],[Agent]])</f>
        <v>32</v>
      </c>
      <c r="G139" s="81" t="str" cm="1">
        <f t="array" ref="G139">TerminArtDisplay(tblTermine[[#This Row],[Terminart]], tblTermine[[#This Row],[Agent]])</f>
        <v>Feiertag</v>
      </c>
      <c r="H139" s="81" t="str" cm="1">
        <f t="array" ref="H139">MakeSearchTerm(tblTermine[[#This Row],[Mitarbeiter]], tblTermine[[#This Row],[Datum]])</f>
        <v>Weber, Joelle - 25-04-21</v>
      </c>
      <c r="I139" s="81">
        <f>YEAR(tblTermine[[#This Row],[Datum]])</f>
        <v>2025</v>
      </c>
    </row>
    <row r="140" spans="2:9" x14ac:dyDescent="0.25">
      <c r="B140" s="60">
        <v>46118</v>
      </c>
      <c r="C140" s="61" t="s">
        <v>6</v>
      </c>
      <c r="D140" s="61" t="s">
        <v>92</v>
      </c>
      <c r="E140" s="64"/>
      <c r="F140" s="63" cm="1">
        <f t="array" ref="F140">TerminArtId(tblTermine[[#This Row],[Terminart]], tblTermine[[#This Row],[Agent]])</f>
        <v>32</v>
      </c>
      <c r="G140" s="81" t="str" cm="1">
        <f t="array" ref="G140">TerminArtDisplay(tblTermine[[#This Row],[Terminart]], tblTermine[[#This Row],[Agent]])</f>
        <v>Feiertag</v>
      </c>
      <c r="H140" s="81" t="str" cm="1">
        <f t="array" ref="H140">MakeSearchTerm(tblTermine[[#This Row],[Mitarbeiter]], tblTermine[[#This Row],[Datum]])</f>
        <v>Weber, Joelle - 26-04-06</v>
      </c>
      <c r="I140" s="81">
        <f>YEAR(tblTermine[[#This Row],[Datum]])</f>
        <v>2026</v>
      </c>
    </row>
    <row r="141" spans="2:9" x14ac:dyDescent="0.25">
      <c r="B141" s="60">
        <v>46475</v>
      </c>
      <c r="C141" s="61" t="s">
        <v>6</v>
      </c>
      <c r="D141" s="61" t="s">
        <v>92</v>
      </c>
      <c r="E141" s="64"/>
      <c r="F141" s="63" cm="1">
        <f t="array" ref="F141">TerminArtId(tblTermine[[#This Row],[Terminart]], tblTermine[[#This Row],[Agent]])</f>
        <v>32</v>
      </c>
      <c r="G141" s="81" t="str" cm="1">
        <f t="array" ref="G141">TerminArtDisplay(tblTermine[[#This Row],[Terminart]], tblTermine[[#This Row],[Agent]])</f>
        <v>Feiertag</v>
      </c>
      <c r="H141" s="81" t="str" cm="1">
        <f t="array" ref="H141">MakeSearchTerm(tblTermine[[#This Row],[Mitarbeiter]], tblTermine[[#This Row],[Datum]])</f>
        <v>Weber, Joelle - 27-03-29</v>
      </c>
      <c r="I141" s="81">
        <f>YEAR(tblTermine[[#This Row],[Datum]])</f>
        <v>2027</v>
      </c>
    </row>
    <row r="142" spans="2:9" x14ac:dyDescent="0.25">
      <c r="B142" s="60">
        <v>46860</v>
      </c>
      <c r="C142" s="61" t="s">
        <v>6</v>
      </c>
      <c r="D142" s="61" t="s">
        <v>92</v>
      </c>
      <c r="E142" s="64"/>
      <c r="F142" s="63" cm="1">
        <f t="array" ref="F142">TerminArtId(tblTermine[[#This Row],[Terminart]], tblTermine[[#This Row],[Agent]])</f>
        <v>32</v>
      </c>
      <c r="G142" s="81" t="str" cm="1">
        <f t="array" ref="G142">TerminArtDisplay(tblTermine[[#This Row],[Terminart]], tblTermine[[#This Row],[Agent]])</f>
        <v>Feiertag</v>
      </c>
      <c r="H142" s="81" t="str" cm="1">
        <f t="array" ref="H142">MakeSearchTerm(tblTermine[[#This Row],[Mitarbeiter]], tblTermine[[#This Row],[Datum]])</f>
        <v>Weber, Joelle - 28-04-17</v>
      </c>
      <c r="I142" s="81">
        <f>YEAR(tblTermine[[#This Row],[Datum]])</f>
        <v>2028</v>
      </c>
    </row>
    <row r="143" spans="2:9" x14ac:dyDescent="0.25">
      <c r="B143" s="60">
        <v>47210</v>
      </c>
      <c r="C143" s="61" t="s">
        <v>6</v>
      </c>
      <c r="D143" s="61" t="s">
        <v>92</v>
      </c>
      <c r="E143" s="64"/>
      <c r="F143" s="63" cm="1">
        <f t="array" ref="F143">TerminArtId(tblTermine[[#This Row],[Terminart]], tblTermine[[#This Row],[Agent]])</f>
        <v>32</v>
      </c>
      <c r="G143" s="81" t="str" cm="1">
        <f t="array" ref="G143">TerminArtDisplay(tblTermine[[#This Row],[Terminart]], tblTermine[[#This Row],[Agent]])</f>
        <v>Feiertag</v>
      </c>
      <c r="H143" s="81" t="str" cm="1">
        <f t="array" ref="H143">MakeSearchTerm(tblTermine[[#This Row],[Mitarbeiter]], tblTermine[[#This Row],[Datum]])</f>
        <v>Weber, Joelle - 29-04-02</v>
      </c>
      <c r="I143" s="81">
        <f>YEAR(tblTermine[[#This Row],[Datum]])</f>
        <v>2029</v>
      </c>
    </row>
    <row r="144" spans="2:9" x14ac:dyDescent="0.25">
      <c r="B144" s="60">
        <v>47595</v>
      </c>
      <c r="C144" s="61" t="s">
        <v>6</v>
      </c>
      <c r="D144" s="61" t="s">
        <v>92</v>
      </c>
      <c r="E144" s="64"/>
      <c r="F144" s="63" cm="1">
        <f t="array" ref="F144">TerminArtId(tblTermine[[#This Row],[Terminart]], tblTermine[[#This Row],[Agent]])</f>
        <v>32</v>
      </c>
      <c r="G144" s="81" t="str" cm="1">
        <f t="array" ref="G144">TerminArtDisplay(tblTermine[[#This Row],[Terminart]], tblTermine[[#This Row],[Agent]])</f>
        <v>Feiertag</v>
      </c>
      <c r="H144" s="81" t="str" cm="1">
        <f t="array" ref="H144">MakeSearchTerm(tblTermine[[#This Row],[Mitarbeiter]], tblTermine[[#This Row],[Datum]])</f>
        <v>Weber, Joelle - 30-04-22</v>
      </c>
      <c r="I144" s="81">
        <f>YEAR(tblTermine[[#This Row],[Datum]])</f>
        <v>2030</v>
      </c>
    </row>
    <row r="145" spans="2:9" x14ac:dyDescent="0.25">
      <c r="B145" s="60">
        <v>47952</v>
      </c>
      <c r="C145" s="61" t="s">
        <v>6</v>
      </c>
      <c r="D145" s="61" t="s">
        <v>92</v>
      </c>
      <c r="E145" s="64"/>
      <c r="F145" s="63" cm="1">
        <f t="array" ref="F145">TerminArtId(tblTermine[[#This Row],[Terminart]], tblTermine[[#This Row],[Agent]])</f>
        <v>32</v>
      </c>
      <c r="G145" s="81" t="str" cm="1">
        <f t="array" ref="G145">TerminArtDisplay(tblTermine[[#This Row],[Terminart]], tblTermine[[#This Row],[Agent]])</f>
        <v>Feiertag</v>
      </c>
      <c r="H145" s="81" t="str" cm="1">
        <f t="array" ref="H145">MakeSearchTerm(tblTermine[[#This Row],[Mitarbeiter]], tblTermine[[#This Row],[Datum]])</f>
        <v>Weber, Joelle - 31-04-14</v>
      </c>
      <c r="I145" s="81">
        <f>YEAR(tblTermine[[#This Row],[Datum]])</f>
        <v>2031</v>
      </c>
    </row>
    <row r="146" spans="2:9" x14ac:dyDescent="0.25">
      <c r="B146" s="60">
        <v>48302</v>
      </c>
      <c r="C146" s="61" t="s">
        <v>6</v>
      </c>
      <c r="D146" s="61" t="s">
        <v>92</v>
      </c>
      <c r="E146" s="64"/>
      <c r="F146" s="63" cm="1">
        <f t="array" ref="F146">TerminArtId(tblTermine[[#This Row],[Terminart]], tblTermine[[#This Row],[Agent]])</f>
        <v>32</v>
      </c>
      <c r="G146" s="81" t="str" cm="1">
        <f t="array" ref="G146">TerminArtDisplay(tblTermine[[#This Row],[Terminart]], tblTermine[[#This Row],[Agent]])</f>
        <v>Feiertag</v>
      </c>
      <c r="H146" s="81" t="str" cm="1">
        <f t="array" ref="H146">MakeSearchTerm(tblTermine[[#This Row],[Mitarbeiter]], tblTermine[[#This Row],[Datum]])</f>
        <v>Weber, Joelle - 32-03-29</v>
      </c>
      <c r="I146" s="81">
        <f>YEAR(tblTermine[[#This Row],[Datum]])</f>
        <v>2032</v>
      </c>
    </row>
    <row r="147" spans="2:9" x14ac:dyDescent="0.25">
      <c r="B147" s="60">
        <v>45778</v>
      </c>
      <c r="C147" s="61" t="s">
        <v>1</v>
      </c>
      <c r="D147" s="61" t="s">
        <v>92</v>
      </c>
      <c r="E147" s="64"/>
      <c r="F147" s="63" cm="1">
        <f t="array" ref="F147">TerminArtId(tblTermine[[#This Row],[Terminart]], tblTermine[[#This Row],[Agent]])</f>
        <v>32</v>
      </c>
      <c r="G147" s="81" t="str" cm="1">
        <f t="array" ref="G147">TerminArtDisplay(tblTermine[[#This Row],[Terminart]], tblTermine[[#This Row],[Agent]])</f>
        <v>Feiertag</v>
      </c>
      <c r="H147" s="81" t="str" cm="1">
        <f t="array" ref="H147">MakeSearchTerm(tblTermine[[#This Row],[Mitarbeiter]], tblTermine[[#This Row],[Datum]])</f>
        <v>Lehrmann, Marcel - 25-05-01</v>
      </c>
      <c r="I147" s="81">
        <f>YEAR(tblTermine[[#This Row],[Datum]])</f>
        <v>2025</v>
      </c>
    </row>
    <row r="148" spans="2:9" x14ac:dyDescent="0.25">
      <c r="B148" s="60">
        <v>46143</v>
      </c>
      <c r="C148" s="61" t="s">
        <v>1</v>
      </c>
      <c r="D148" s="61" t="s">
        <v>92</v>
      </c>
      <c r="E148" s="64"/>
      <c r="F148" s="63" cm="1">
        <f t="array" ref="F148">TerminArtId(tblTermine[[#This Row],[Terminart]], tblTermine[[#This Row],[Agent]])</f>
        <v>32</v>
      </c>
      <c r="G148" s="81" t="str" cm="1">
        <f t="array" ref="G148">TerminArtDisplay(tblTermine[[#This Row],[Terminart]], tblTermine[[#This Row],[Agent]])</f>
        <v>Feiertag</v>
      </c>
      <c r="H148" s="81" t="str" cm="1">
        <f t="array" ref="H148">MakeSearchTerm(tblTermine[[#This Row],[Mitarbeiter]], tblTermine[[#This Row],[Datum]])</f>
        <v>Lehrmann, Marcel - 26-05-01</v>
      </c>
      <c r="I148" s="81">
        <f>YEAR(tblTermine[[#This Row],[Datum]])</f>
        <v>2026</v>
      </c>
    </row>
    <row r="149" spans="2:9" x14ac:dyDescent="0.25">
      <c r="B149" s="60">
        <v>46874</v>
      </c>
      <c r="C149" s="61" t="s">
        <v>1</v>
      </c>
      <c r="D149" s="61" t="s">
        <v>92</v>
      </c>
      <c r="E149" s="64"/>
      <c r="F149" s="63" cm="1">
        <f t="array" ref="F149">TerminArtId(tblTermine[[#This Row],[Terminart]], tblTermine[[#This Row],[Agent]])</f>
        <v>32</v>
      </c>
      <c r="G149" s="81" t="str" cm="1">
        <f t="array" ref="G149">TerminArtDisplay(tblTermine[[#This Row],[Terminart]], tblTermine[[#This Row],[Agent]])</f>
        <v>Feiertag</v>
      </c>
      <c r="H149" s="81" t="str" cm="1">
        <f t="array" ref="H149">MakeSearchTerm(tblTermine[[#This Row],[Mitarbeiter]], tblTermine[[#This Row],[Datum]])</f>
        <v>Lehrmann, Marcel - 28-05-01</v>
      </c>
      <c r="I149" s="81">
        <f>YEAR(tblTermine[[#This Row],[Datum]])</f>
        <v>2028</v>
      </c>
    </row>
    <row r="150" spans="2:9" x14ac:dyDescent="0.25">
      <c r="B150" s="60">
        <v>47239</v>
      </c>
      <c r="C150" s="61" t="s">
        <v>1</v>
      </c>
      <c r="D150" s="61" t="s">
        <v>92</v>
      </c>
      <c r="E150" s="64"/>
      <c r="F150" s="63" cm="1">
        <f t="array" ref="F150">TerminArtId(tblTermine[[#This Row],[Terminart]], tblTermine[[#This Row],[Agent]])</f>
        <v>32</v>
      </c>
      <c r="G150" s="81" t="str" cm="1">
        <f t="array" ref="G150">TerminArtDisplay(tblTermine[[#This Row],[Terminart]], tblTermine[[#This Row],[Agent]])</f>
        <v>Feiertag</v>
      </c>
      <c r="H150" s="81" t="str" cm="1">
        <f t="array" ref="H150">MakeSearchTerm(tblTermine[[#This Row],[Mitarbeiter]], tblTermine[[#This Row],[Datum]])</f>
        <v>Lehrmann, Marcel - 29-05-01</v>
      </c>
      <c r="I150" s="81">
        <f>YEAR(tblTermine[[#This Row],[Datum]])</f>
        <v>2029</v>
      </c>
    </row>
    <row r="151" spans="2:9" x14ac:dyDescent="0.25">
      <c r="B151" s="60">
        <v>47604</v>
      </c>
      <c r="C151" s="61" t="s">
        <v>1</v>
      </c>
      <c r="D151" s="61" t="s">
        <v>92</v>
      </c>
      <c r="E151" s="64"/>
      <c r="F151" s="63" cm="1">
        <f t="array" ref="F151">TerminArtId(tblTermine[[#This Row],[Terminart]], tblTermine[[#This Row],[Agent]])</f>
        <v>32</v>
      </c>
      <c r="G151" s="81" t="str" cm="1">
        <f t="array" ref="G151">TerminArtDisplay(tblTermine[[#This Row],[Terminart]], tblTermine[[#This Row],[Agent]])</f>
        <v>Feiertag</v>
      </c>
      <c r="H151" s="81" t="str" cm="1">
        <f t="array" ref="H151">MakeSearchTerm(tblTermine[[#This Row],[Mitarbeiter]], tblTermine[[#This Row],[Datum]])</f>
        <v>Lehrmann, Marcel - 30-05-01</v>
      </c>
      <c r="I151" s="81">
        <f>YEAR(tblTermine[[#This Row],[Datum]])</f>
        <v>2030</v>
      </c>
    </row>
    <row r="152" spans="2:9" x14ac:dyDescent="0.25">
      <c r="B152" s="60">
        <v>47969</v>
      </c>
      <c r="C152" s="61" t="s">
        <v>1</v>
      </c>
      <c r="D152" s="61" t="s">
        <v>92</v>
      </c>
      <c r="E152" s="64"/>
      <c r="F152" s="63" cm="1">
        <f t="array" ref="F152">TerminArtId(tblTermine[[#This Row],[Terminart]], tblTermine[[#This Row],[Agent]])</f>
        <v>32</v>
      </c>
      <c r="G152" s="81" t="str" cm="1">
        <f t="array" ref="G152">TerminArtDisplay(tblTermine[[#This Row],[Terminart]], tblTermine[[#This Row],[Agent]])</f>
        <v>Feiertag</v>
      </c>
      <c r="H152" s="81" t="str" cm="1">
        <f t="array" ref="H152">MakeSearchTerm(tblTermine[[#This Row],[Mitarbeiter]], tblTermine[[#This Row],[Datum]])</f>
        <v>Lehrmann, Marcel - 31-05-01</v>
      </c>
      <c r="I152" s="81">
        <f>YEAR(tblTermine[[#This Row],[Datum]])</f>
        <v>2031</v>
      </c>
    </row>
    <row r="153" spans="2:9" x14ac:dyDescent="0.25">
      <c r="B153" s="60">
        <v>45778</v>
      </c>
      <c r="C153" s="61" t="s">
        <v>3</v>
      </c>
      <c r="D153" s="61" t="s">
        <v>92</v>
      </c>
      <c r="E153" s="64"/>
      <c r="F153" s="63" cm="1">
        <f t="array" ref="F153">TerminArtId(tblTermine[[#This Row],[Terminart]], tblTermine[[#This Row],[Agent]])</f>
        <v>32</v>
      </c>
      <c r="G153" s="81" t="str" cm="1">
        <f t="array" ref="G153">TerminArtDisplay(tblTermine[[#This Row],[Terminart]], tblTermine[[#This Row],[Agent]])</f>
        <v>Feiertag</v>
      </c>
      <c r="H153" s="81" t="str" cm="1">
        <f t="array" ref="H153">MakeSearchTerm(tblTermine[[#This Row],[Mitarbeiter]], tblTermine[[#This Row],[Datum]])</f>
        <v>Plottek, André - 25-05-01</v>
      </c>
      <c r="I153" s="81">
        <f>YEAR(tblTermine[[#This Row],[Datum]])</f>
        <v>2025</v>
      </c>
    </row>
    <row r="154" spans="2:9" x14ac:dyDescent="0.25">
      <c r="B154" s="60">
        <v>46143</v>
      </c>
      <c r="C154" s="61" t="s">
        <v>3</v>
      </c>
      <c r="D154" s="61" t="s">
        <v>92</v>
      </c>
      <c r="E154" s="64"/>
      <c r="F154" s="63" cm="1">
        <f t="array" ref="F154">TerminArtId(tblTermine[[#This Row],[Terminart]], tblTermine[[#This Row],[Agent]])</f>
        <v>32</v>
      </c>
      <c r="G154" s="81" t="str" cm="1">
        <f t="array" ref="G154">TerminArtDisplay(tblTermine[[#This Row],[Terminart]], tblTermine[[#This Row],[Agent]])</f>
        <v>Feiertag</v>
      </c>
      <c r="H154" s="81" t="str" cm="1">
        <f t="array" ref="H154">MakeSearchTerm(tblTermine[[#This Row],[Mitarbeiter]], tblTermine[[#This Row],[Datum]])</f>
        <v>Plottek, André - 26-05-01</v>
      </c>
      <c r="I154" s="81">
        <f>YEAR(tblTermine[[#This Row],[Datum]])</f>
        <v>2026</v>
      </c>
    </row>
    <row r="155" spans="2:9" x14ac:dyDescent="0.25">
      <c r="B155" s="60">
        <v>46874</v>
      </c>
      <c r="C155" s="61" t="s">
        <v>3</v>
      </c>
      <c r="D155" s="61" t="s">
        <v>92</v>
      </c>
      <c r="E155" s="64"/>
      <c r="F155" s="63" cm="1">
        <f t="array" ref="F155">TerminArtId(tblTermine[[#This Row],[Terminart]], tblTermine[[#This Row],[Agent]])</f>
        <v>32</v>
      </c>
      <c r="G155" s="81" t="str" cm="1">
        <f t="array" ref="G155">TerminArtDisplay(tblTermine[[#This Row],[Terminart]], tblTermine[[#This Row],[Agent]])</f>
        <v>Feiertag</v>
      </c>
      <c r="H155" s="81" t="str" cm="1">
        <f t="array" ref="H155">MakeSearchTerm(tblTermine[[#This Row],[Mitarbeiter]], tblTermine[[#This Row],[Datum]])</f>
        <v>Plottek, André - 28-05-01</v>
      </c>
      <c r="I155" s="81">
        <f>YEAR(tblTermine[[#This Row],[Datum]])</f>
        <v>2028</v>
      </c>
    </row>
    <row r="156" spans="2:9" x14ac:dyDescent="0.25">
      <c r="B156" s="60">
        <v>47239</v>
      </c>
      <c r="C156" s="61" t="s">
        <v>3</v>
      </c>
      <c r="D156" s="61" t="s">
        <v>92</v>
      </c>
      <c r="E156" s="64"/>
      <c r="F156" s="63" cm="1">
        <f t="array" ref="F156">TerminArtId(tblTermine[[#This Row],[Terminart]], tblTermine[[#This Row],[Agent]])</f>
        <v>32</v>
      </c>
      <c r="G156" s="81" t="str" cm="1">
        <f t="array" ref="G156">TerminArtDisplay(tblTermine[[#This Row],[Terminart]], tblTermine[[#This Row],[Agent]])</f>
        <v>Feiertag</v>
      </c>
      <c r="H156" s="81" t="str" cm="1">
        <f t="array" ref="H156">MakeSearchTerm(tblTermine[[#This Row],[Mitarbeiter]], tblTermine[[#This Row],[Datum]])</f>
        <v>Plottek, André - 29-05-01</v>
      </c>
      <c r="I156" s="81">
        <f>YEAR(tblTermine[[#This Row],[Datum]])</f>
        <v>2029</v>
      </c>
    </row>
    <row r="157" spans="2:9" x14ac:dyDescent="0.25">
      <c r="B157" s="60">
        <v>47604</v>
      </c>
      <c r="C157" s="61" t="s">
        <v>3</v>
      </c>
      <c r="D157" s="61" t="s">
        <v>92</v>
      </c>
      <c r="E157" s="64"/>
      <c r="F157" s="63" cm="1">
        <f t="array" ref="F157">TerminArtId(tblTermine[[#This Row],[Terminart]], tblTermine[[#This Row],[Agent]])</f>
        <v>32</v>
      </c>
      <c r="G157" s="81" t="str" cm="1">
        <f t="array" ref="G157">TerminArtDisplay(tblTermine[[#This Row],[Terminart]], tblTermine[[#This Row],[Agent]])</f>
        <v>Feiertag</v>
      </c>
      <c r="H157" s="81" t="str" cm="1">
        <f t="array" ref="H157">MakeSearchTerm(tblTermine[[#This Row],[Mitarbeiter]], tblTermine[[#This Row],[Datum]])</f>
        <v>Plottek, André - 30-05-01</v>
      </c>
      <c r="I157" s="81">
        <f>YEAR(tblTermine[[#This Row],[Datum]])</f>
        <v>2030</v>
      </c>
    </row>
    <row r="158" spans="2:9" x14ac:dyDescent="0.25">
      <c r="B158" s="60">
        <v>47969</v>
      </c>
      <c r="C158" s="61" t="s">
        <v>3</v>
      </c>
      <c r="D158" s="61" t="s">
        <v>92</v>
      </c>
      <c r="E158" s="64"/>
      <c r="F158" s="63" cm="1">
        <f t="array" ref="F158">TerminArtId(tblTermine[[#This Row],[Terminart]], tblTermine[[#This Row],[Agent]])</f>
        <v>32</v>
      </c>
      <c r="G158" s="81" t="str" cm="1">
        <f t="array" ref="G158">TerminArtDisplay(tblTermine[[#This Row],[Terminart]], tblTermine[[#This Row],[Agent]])</f>
        <v>Feiertag</v>
      </c>
      <c r="H158" s="81" t="str" cm="1">
        <f t="array" ref="H158">MakeSearchTerm(tblTermine[[#This Row],[Mitarbeiter]], tblTermine[[#This Row],[Datum]])</f>
        <v>Plottek, André - 31-05-01</v>
      </c>
      <c r="I158" s="81">
        <f>YEAR(tblTermine[[#This Row],[Datum]])</f>
        <v>2031</v>
      </c>
    </row>
    <row r="159" spans="2:9" x14ac:dyDescent="0.25">
      <c r="B159" s="60">
        <v>45778</v>
      </c>
      <c r="C159" s="61" t="s">
        <v>4</v>
      </c>
      <c r="D159" s="61" t="s">
        <v>92</v>
      </c>
      <c r="E159" s="64"/>
      <c r="F159" s="63" cm="1">
        <f t="array" ref="F159">TerminArtId(tblTermine[[#This Row],[Terminart]], tblTermine[[#This Row],[Agent]])</f>
        <v>32</v>
      </c>
      <c r="G159" s="81" t="str" cm="1">
        <f t="array" ref="G159">TerminArtDisplay(tblTermine[[#This Row],[Terminart]], tblTermine[[#This Row],[Agent]])</f>
        <v>Feiertag</v>
      </c>
      <c r="H159" s="81" t="str" cm="1">
        <f t="array" ref="H159">MakeSearchTerm(tblTermine[[#This Row],[Mitarbeiter]], tblTermine[[#This Row],[Datum]])</f>
        <v>Schweitzer, Sven - 25-05-01</v>
      </c>
      <c r="I159" s="81">
        <f>YEAR(tblTermine[[#This Row],[Datum]])</f>
        <v>2025</v>
      </c>
    </row>
    <row r="160" spans="2:9" x14ac:dyDescent="0.25">
      <c r="B160" s="60">
        <v>46143</v>
      </c>
      <c r="C160" s="61" t="s">
        <v>4</v>
      </c>
      <c r="D160" s="61" t="s">
        <v>92</v>
      </c>
      <c r="E160" s="64"/>
      <c r="F160" s="63" cm="1">
        <f t="array" ref="F160">TerminArtId(tblTermine[[#This Row],[Terminart]], tblTermine[[#This Row],[Agent]])</f>
        <v>32</v>
      </c>
      <c r="G160" s="81" t="str" cm="1">
        <f t="array" ref="G160">TerminArtDisplay(tblTermine[[#This Row],[Terminart]], tblTermine[[#This Row],[Agent]])</f>
        <v>Feiertag</v>
      </c>
      <c r="H160" s="81" t="str" cm="1">
        <f t="array" ref="H160">MakeSearchTerm(tblTermine[[#This Row],[Mitarbeiter]], tblTermine[[#This Row],[Datum]])</f>
        <v>Schweitzer, Sven - 26-05-01</v>
      </c>
      <c r="I160" s="81">
        <f>YEAR(tblTermine[[#This Row],[Datum]])</f>
        <v>2026</v>
      </c>
    </row>
    <row r="161" spans="2:9" x14ac:dyDescent="0.25">
      <c r="B161" s="60">
        <v>46874</v>
      </c>
      <c r="C161" s="61" t="s">
        <v>4</v>
      </c>
      <c r="D161" s="61" t="s">
        <v>92</v>
      </c>
      <c r="E161" s="64"/>
      <c r="F161" s="63" cm="1">
        <f t="array" ref="F161">TerminArtId(tblTermine[[#This Row],[Terminart]], tblTermine[[#This Row],[Agent]])</f>
        <v>32</v>
      </c>
      <c r="G161" s="81" t="str" cm="1">
        <f t="array" ref="G161">TerminArtDisplay(tblTermine[[#This Row],[Terminart]], tblTermine[[#This Row],[Agent]])</f>
        <v>Feiertag</v>
      </c>
      <c r="H161" s="81" t="str" cm="1">
        <f t="array" ref="H161">MakeSearchTerm(tblTermine[[#This Row],[Mitarbeiter]], tblTermine[[#This Row],[Datum]])</f>
        <v>Schweitzer, Sven - 28-05-01</v>
      </c>
      <c r="I161" s="81">
        <f>YEAR(tblTermine[[#This Row],[Datum]])</f>
        <v>2028</v>
      </c>
    </row>
    <row r="162" spans="2:9" x14ac:dyDescent="0.25">
      <c r="B162" s="60">
        <v>47239</v>
      </c>
      <c r="C162" s="61" t="s">
        <v>4</v>
      </c>
      <c r="D162" s="61" t="s">
        <v>92</v>
      </c>
      <c r="E162" s="64"/>
      <c r="F162" s="63" cm="1">
        <f t="array" ref="F162">TerminArtId(tblTermine[[#This Row],[Terminart]], tblTermine[[#This Row],[Agent]])</f>
        <v>32</v>
      </c>
      <c r="G162" s="81" t="str" cm="1">
        <f t="array" ref="G162">TerminArtDisplay(tblTermine[[#This Row],[Terminart]], tblTermine[[#This Row],[Agent]])</f>
        <v>Feiertag</v>
      </c>
      <c r="H162" s="81" t="str" cm="1">
        <f t="array" ref="H162">MakeSearchTerm(tblTermine[[#This Row],[Mitarbeiter]], tblTermine[[#This Row],[Datum]])</f>
        <v>Schweitzer, Sven - 29-05-01</v>
      </c>
      <c r="I162" s="81">
        <f>YEAR(tblTermine[[#This Row],[Datum]])</f>
        <v>2029</v>
      </c>
    </row>
    <row r="163" spans="2:9" x14ac:dyDescent="0.25">
      <c r="B163" s="60">
        <v>47604</v>
      </c>
      <c r="C163" s="61" t="s">
        <v>4</v>
      </c>
      <c r="D163" s="61" t="s">
        <v>92</v>
      </c>
      <c r="E163" s="64"/>
      <c r="F163" s="63" cm="1">
        <f t="array" ref="F163">TerminArtId(tblTermine[[#This Row],[Terminart]], tblTermine[[#This Row],[Agent]])</f>
        <v>32</v>
      </c>
      <c r="G163" s="81" t="str" cm="1">
        <f t="array" ref="G163">TerminArtDisplay(tblTermine[[#This Row],[Terminart]], tblTermine[[#This Row],[Agent]])</f>
        <v>Feiertag</v>
      </c>
      <c r="H163" s="81" t="str" cm="1">
        <f t="array" ref="H163">MakeSearchTerm(tblTermine[[#This Row],[Mitarbeiter]], tblTermine[[#This Row],[Datum]])</f>
        <v>Schweitzer, Sven - 30-05-01</v>
      </c>
      <c r="I163" s="81">
        <f>YEAR(tblTermine[[#This Row],[Datum]])</f>
        <v>2030</v>
      </c>
    </row>
    <row r="164" spans="2:9" x14ac:dyDescent="0.25">
      <c r="B164" s="60">
        <v>47969</v>
      </c>
      <c r="C164" s="61" t="s">
        <v>4</v>
      </c>
      <c r="D164" s="61" t="s">
        <v>92</v>
      </c>
      <c r="E164" s="64"/>
      <c r="F164" s="63" cm="1">
        <f t="array" ref="F164">TerminArtId(tblTermine[[#This Row],[Terminart]], tblTermine[[#This Row],[Agent]])</f>
        <v>32</v>
      </c>
      <c r="G164" s="81" t="str" cm="1">
        <f t="array" ref="G164">TerminArtDisplay(tblTermine[[#This Row],[Terminart]], tblTermine[[#This Row],[Agent]])</f>
        <v>Feiertag</v>
      </c>
      <c r="H164" s="81" t="str" cm="1">
        <f t="array" ref="H164">MakeSearchTerm(tblTermine[[#This Row],[Mitarbeiter]], tblTermine[[#This Row],[Datum]])</f>
        <v>Schweitzer, Sven - 31-05-01</v>
      </c>
      <c r="I164" s="81">
        <f>YEAR(tblTermine[[#This Row],[Datum]])</f>
        <v>2031</v>
      </c>
    </row>
    <row r="165" spans="2:9" x14ac:dyDescent="0.25">
      <c r="B165" s="60">
        <v>45778</v>
      </c>
      <c r="C165" s="61" t="s">
        <v>6</v>
      </c>
      <c r="D165" s="61" t="s">
        <v>92</v>
      </c>
      <c r="E165" s="64"/>
      <c r="F165" s="63" cm="1">
        <f t="array" ref="F165">TerminArtId(tblTermine[[#This Row],[Terminart]], tblTermine[[#This Row],[Agent]])</f>
        <v>32</v>
      </c>
      <c r="G165" s="81" t="str" cm="1">
        <f t="array" ref="G165">TerminArtDisplay(tblTermine[[#This Row],[Terminart]], tblTermine[[#This Row],[Agent]])</f>
        <v>Feiertag</v>
      </c>
      <c r="H165" s="81" t="str" cm="1">
        <f t="array" ref="H165">MakeSearchTerm(tblTermine[[#This Row],[Mitarbeiter]], tblTermine[[#This Row],[Datum]])</f>
        <v>Weber, Joelle - 25-05-01</v>
      </c>
      <c r="I165" s="81">
        <f>YEAR(tblTermine[[#This Row],[Datum]])</f>
        <v>2025</v>
      </c>
    </row>
    <row r="166" spans="2:9" x14ac:dyDescent="0.25">
      <c r="B166" s="60">
        <v>46143</v>
      </c>
      <c r="C166" s="61" t="s">
        <v>6</v>
      </c>
      <c r="D166" s="61" t="s">
        <v>92</v>
      </c>
      <c r="E166" s="64"/>
      <c r="F166" s="63" cm="1">
        <f t="array" ref="F166">TerminArtId(tblTermine[[#This Row],[Terminart]], tblTermine[[#This Row],[Agent]])</f>
        <v>32</v>
      </c>
      <c r="G166" s="81" t="str" cm="1">
        <f t="array" ref="G166">TerminArtDisplay(tblTermine[[#This Row],[Terminart]], tblTermine[[#This Row],[Agent]])</f>
        <v>Feiertag</v>
      </c>
      <c r="H166" s="81" t="str" cm="1">
        <f t="array" ref="H166">MakeSearchTerm(tblTermine[[#This Row],[Mitarbeiter]], tblTermine[[#This Row],[Datum]])</f>
        <v>Weber, Joelle - 26-05-01</v>
      </c>
      <c r="I166" s="81">
        <f>YEAR(tblTermine[[#This Row],[Datum]])</f>
        <v>2026</v>
      </c>
    </row>
    <row r="167" spans="2:9" x14ac:dyDescent="0.25">
      <c r="B167" s="60">
        <v>46874</v>
      </c>
      <c r="C167" s="61" t="s">
        <v>6</v>
      </c>
      <c r="D167" s="61" t="s">
        <v>92</v>
      </c>
      <c r="E167" s="64"/>
      <c r="F167" s="63" cm="1">
        <f t="array" ref="F167">TerminArtId(tblTermine[[#This Row],[Terminart]], tblTermine[[#This Row],[Agent]])</f>
        <v>32</v>
      </c>
      <c r="G167" s="81" t="str" cm="1">
        <f t="array" ref="G167">TerminArtDisplay(tblTermine[[#This Row],[Terminart]], tblTermine[[#This Row],[Agent]])</f>
        <v>Feiertag</v>
      </c>
      <c r="H167" s="81" t="str" cm="1">
        <f t="array" ref="H167">MakeSearchTerm(tblTermine[[#This Row],[Mitarbeiter]], tblTermine[[#This Row],[Datum]])</f>
        <v>Weber, Joelle - 28-05-01</v>
      </c>
      <c r="I167" s="81">
        <f>YEAR(tblTermine[[#This Row],[Datum]])</f>
        <v>2028</v>
      </c>
    </row>
    <row r="168" spans="2:9" x14ac:dyDescent="0.25">
      <c r="B168" s="60">
        <v>47239</v>
      </c>
      <c r="C168" s="61" t="s">
        <v>6</v>
      </c>
      <c r="D168" s="61" t="s">
        <v>92</v>
      </c>
      <c r="E168" s="64"/>
      <c r="F168" s="63" cm="1">
        <f t="array" ref="F168">TerminArtId(tblTermine[[#This Row],[Terminart]], tblTermine[[#This Row],[Agent]])</f>
        <v>32</v>
      </c>
      <c r="G168" s="81" t="str" cm="1">
        <f t="array" ref="G168">TerminArtDisplay(tblTermine[[#This Row],[Terminart]], tblTermine[[#This Row],[Agent]])</f>
        <v>Feiertag</v>
      </c>
      <c r="H168" s="81" t="str" cm="1">
        <f t="array" ref="H168">MakeSearchTerm(tblTermine[[#This Row],[Mitarbeiter]], tblTermine[[#This Row],[Datum]])</f>
        <v>Weber, Joelle - 29-05-01</v>
      </c>
      <c r="I168" s="81">
        <f>YEAR(tblTermine[[#This Row],[Datum]])</f>
        <v>2029</v>
      </c>
    </row>
    <row r="169" spans="2:9" x14ac:dyDescent="0.25">
      <c r="B169" s="60">
        <v>47604</v>
      </c>
      <c r="C169" s="61" t="s">
        <v>6</v>
      </c>
      <c r="D169" s="61" t="s">
        <v>92</v>
      </c>
      <c r="E169" s="64"/>
      <c r="F169" s="63" cm="1">
        <f t="array" ref="F169">TerminArtId(tblTermine[[#This Row],[Terminart]], tblTermine[[#This Row],[Agent]])</f>
        <v>32</v>
      </c>
      <c r="G169" s="81" t="str" cm="1">
        <f t="array" ref="G169">TerminArtDisplay(tblTermine[[#This Row],[Terminart]], tblTermine[[#This Row],[Agent]])</f>
        <v>Feiertag</v>
      </c>
      <c r="H169" s="81" t="str" cm="1">
        <f t="array" ref="H169">MakeSearchTerm(tblTermine[[#This Row],[Mitarbeiter]], tblTermine[[#This Row],[Datum]])</f>
        <v>Weber, Joelle - 30-05-01</v>
      </c>
      <c r="I169" s="81">
        <f>YEAR(tblTermine[[#This Row],[Datum]])</f>
        <v>2030</v>
      </c>
    </row>
    <row r="170" spans="2:9" x14ac:dyDescent="0.25">
      <c r="B170" s="60">
        <v>47969</v>
      </c>
      <c r="C170" s="61" t="s">
        <v>6</v>
      </c>
      <c r="D170" s="61" t="s">
        <v>92</v>
      </c>
      <c r="E170" s="64"/>
      <c r="F170" s="63" cm="1">
        <f t="array" ref="F170">TerminArtId(tblTermine[[#This Row],[Terminart]], tblTermine[[#This Row],[Agent]])</f>
        <v>32</v>
      </c>
      <c r="G170" s="81" t="str" cm="1">
        <f t="array" ref="G170">TerminArtDisplay(tblTermine[[#This Row],[Terminart]], tblTermine[[#This Row],[Agent]])</f>
        <v>Feiertag</v>
      </c>
      <c r="H170" s="81" t="str" cm="1">
        <f t="array" ref="H170">MakeSearchTerm(tblTermine[[#This Row],[Mitarbeiter]], tblTermine[[#This Row],[Datum]])</f>
        <v>Weber, Joelle - 31-05-01</v>
      </c>
      <c r="I170" s="81">
        <f>YEAR(tblTermine[[#This Row],[Datum]])</f>
        <v>2031</v>
      </c>
    </row>
    <row r="171" spans="2:9" x14ac:dyDescent="0.25">
      <c r="B171" s="60">
        <v>45806</v>
      </c>
      <c r="C171" s="61" t="s">
        <v>1</v>
      </c>
      <c r="D171" s="61" t="s">
        <v>92</v>
      </c>
      <c r="E171" s="64"/>
      <c r="F171" s="63" cm="1">
        <f t="array" ref="F171">TerminArtId(tblTermine[[#This Row],[Terminart]], tblTermine[[#This Row],[Agent]])</f>
        <v>32</v>
      </c>
      <c r="G171" s="81" t="str" cm="1">
        <f t="array" ref="G171">TerminArtDisplay(tblTermine[[#This Row],[Terminart]], tblTermine[[#This Row],[Agent]])</f>
        <v>Feiertag</v>
      </c>
      <c r="H171" s="81" t="str" cm="1">
        <f t="array" ref="H171">MakeSearchTerm(tblTermine[[#This Row],[Mitarbeiter]], tblTermine[[#This Row],[Datum]])</f>
        <v>Lehrmann, Marcel - 25-05-29</v>
      </c>
      <c r="I171" s="81">
        <f>YEAR(tblTermine[[#This Row],[Datum]])</f>
        <v>2025</v>
      </c>
    </row>
    <row r="172" spans="2:9" x14ac:dyDescent="0.25">
      <c r="B172" s="60">
        <v>46156</v>
      </c>
      <c r="C172" s="61" t="s">
        <v>1</v>
      </c>
      <c r="D172" s="61" t="s">
        <v>92</v>
      </c>
      <c r="E172" s="64"/>
      <c r="F172" s="63" cm="1">
        <f t="array" ref="F172">TerminArtId(tblTermine[[#This Row],[Terminart]], tblTermine[[#This Row],[Agent]])</f>
        <v>32</v>
      </c>
      <c r="G172" s="81" t="str" cm="1">
        <f t="array" ref="G172">TerminArtDisplay(tblTermine[[#This Row],[Terminart]], tblTermine[[#This Row],[Agent]])</f>
        <v>Feiertag</v>
      </c>
      <c r="H172" s="81" t="str" cm="1">
        <f t="array" ref="H172">MakeSearchTerm(tblTermine[[#This Row],[Mitarbeiter]], tblTermine[[#This Row],[Datum]])</f>
        <v>Lehrmann, Marcel - 26-05-14</v>
      </c>
      <c r="I172" s="81">
        <f>YEAR(tblTermine[[#This Row],[Datum]])</f>
        <v>2026</v>
      </c>
    </row>
    <row r="173" spans="2:9" x14ac:dyDescent="0.25">
      <c r="B173" s="60">
        <v>46513</v>
      </c>
      <c r="C173" s="61" t="s">
        <v>1</v>
      </c>
      <c r="D173" s="61" t="s">
        <v>92</v>
      </c>
      <c r="E173" s="64"/>
      <c r="F173" s="63" cm="1">
        <f t="array" ref="F173">TerminArtId(tblTermine[[#This Row],[Terminart]], tblTermine[[#This Row],[Agent]])</f>
        <v>32</v>
      </c>
      <c r="G173" s="81" t="str" cm="1">
        <f t="array" ref="G173">TerminArtDisplay(tblTermine[[#This Row],[Terminart]], tblTermine[[#This Row],[Agent]])</f>
        <v>Feiertag</v>
      </c>
      <c r="H173" s="81" t="str" cm="1">
        <f t="array" ref="H173">MakeSearchTerm(tblTermine[[#This Row],[Mitarbeiter]], tblTermine[[#This Row],[Datum]])</f>
        <v>Lehrmann, Marcel - 27-05-06</v>
      </c>
      <c r="I173" s="81">
        <f>YEAR(tblTermine[[#This Row],[Datum]])</f>
        <v>2027</v>
      </c>
    </row>
    <row r="174" spans="2:9" x14ac:dyDescent="0.25">
      <c r="B174" s="60">
        <v>46898</v>
      </c>
      <c r="C174" s="61" t="s">
        <v>1</v>
      </c>
      <c r="D174" s="61" t="s">
        <v>92</v>
      </c>
      <c r="E174" s="64"/>
      <c r="F174" s="63" cm="1">
        <f t="array" ref="F174">TerminArtId(tblTermine[[#This Row],[Terminart]], tblTermine[[#This Row],[Agent]])</f>
        <v>32</v>
      </c>
      <c r="G174" s="81" t="str" cm="1">
        <f t="array" ref="G174">TerminArtDisplay(tblTermine[[#This Row],[Terminart]], tblTermine[[#This Row],[Agent]])</f>
        <v>Feiertag</v>
      </c>
      <c r="H174" s="81" t="str" cm="1">
        <f t="array" ref="H174">MakeSearchTerm(tblTermine[[#This Row],[Mitarbeiter]], tblTermine[[#This Row],[Datum]])</f>
        <v>Lehrmann, Marcel - 28-05-25</v>
      </c>
      <c r="I174" s="81">
        <f>YEAR(tblTermine[[#This Row],[Datum]])</f>
        <v>2028</v>
      </c>
    </row>
    <row r="175" spans="2:9" x14ac:dyDescent="0.25">
      <c r="B175" s="60">
        <v>47248</v>
      </c>
      <c r="C175" s="61" t="s">
        <v>1</v>
      </c>
      <c r="D175" s="61" t="s">
        <v>92</v>
      </c>
      <c r="E175" s="64"/>
      <c r="F175" s="63" cm="1">
        <f t="array" ref="F175">TerminArtId(tblTermine[[#This Row],[Terminart]], tblTermine[[#This Row],[Agent]])</f>
        <v>32</v>
      </c>
      <c r="G175" s="81" t="str" cm="1">
        <f t="array" ref="G175">TerminArtDisplay(tblTermine[[#This Row],[Terminart]], tblTermine[[#This Row],[Agent]])</f>
        <v>Feiertag</v>
      </c>
      <c r="H175" s="81" t="str" cm="1">
        <f t="array" ref="H175">MakeSearchTerm(tblTermine[[#This Row],[Mitarbeiter]], tblTermine[[#This Row],[Datum]])</f>
        <v>Lehrmann, Marcel - 29-05-10</v>
      </c>
      <c r="I175" s="81">
        <f>YEAR(tblTermine[[#This Row],[Datum]])</f>
        <v>2029</v>
      </c>
    </row>
    <row r="176" spans="2:9" x14ac:dyDescent="0.25">
      <c r="B176" s="60">
        <v>47633</v>
      </c>
      <c r="C176" s="61" t="s">
        <v>1</v>
      </c>
      <c r="D176" s="61" t="s">
        <v>92</v>
      </c>
      <c r="E176" s="64"/>
      <c r="F176" s="63" cm="1">
        <f t="array" ref="F176">TerminArtId(tblTermine[[#This Row],[Terminart]], tblTermine[[#This Row],[Agent]])</f>
        <v>32</v>
      </c>
      <c r="G176" s="81" t="str" cm="1">
        <f t="array" ref="G176">TerminArtDisplay(tblTermine[[#This Row],[Terminart]], tblTermine[[#This Row],[Agent]])</f>
        <v>Feiertag</v>
      </c>
      <c r="H176" s="81" t="str" cm="1">
        <f t="array" ref="H176">MakeSearchTerm(tblTermine[[#This Row],[Mitarbeiter]], tblTermine[[#This Row],[Datum]])</f>
        <v>Lehrmann, Marcel - 30-05-30</v>
      </c>
      <c r="I176" s="81">
        <f>YEAR(tblTermine[[#This Row],[Datum]])</f>
        <v>2030</v>
      </c>
    </row>
    <row r="177" spans="2:9" x14ac:dyDescent="0.25">
      <c r="B177" s="60">
        <v>47990</v>
      </c>
      <c r="C177" s="61" t="s">
        <v>1</v>
      </c>
      <c r="D177" s="61" t="s">
        <v>92</v>
      </c>
      <c r="E177" s="64"/>
      <c r="F177" s="63" cm="1">
        <f t="array" ref="F177">TerminArtId(tblTermine[[#This Row],[Terminart]], tblTermine[[#This Row],[Agent]])</f>
        <v>32</v>
      </c>
      <c r="G177" s="81" t="str" cm="1">
        <f t="array" ref="G177">TerminArtDisplay(tblTermine[[#This Row],[Terminart]], tblTermine[[#This Row],[Agent]])</f>
        <v>Feiertag</v>
      </c>
      <c r="H177" s="81" t="str" cm="1">
        <f t="array" ref="H177">MakeSearchTerm(tblTermine[[#This Row],[Mitarbeiter]], tblTermine[[#This Row],[Datum]])</f>
        <v>Lehrmann, Marcel - 31-05-22</v>
      </c>
      <c r="I177" s="81">
        <f>YEAR(tblTermine[[#This Row],[Datum]])</f>
        <v>2031</v>
      </c>
    </row>
    <row r="178" spans="2:9" x14ac:dyDescent="0.25">
      <c r="B178" s="60">
        <v>48340</v>
      </c>
      <c r="C178" s="61" t="s">
        <v>1</v>
      </c>
      <c r="D178" s="61" t="s">
        <v>92</v>
      </c>
      <c r="E178" s="64"/>
      <c r="F178" s="63" cm="1">
        <f t="array" ref="F178">TerminArtId(tblTermine[[#This Row],[Terminart]], tblTermine[[#This Row],[Agent]])</f>
        <v>32</v>
      </c>
      <c r="G178" s="81" t="str" cm="1">
        <f t="array" ref="G178">TerminArtDisplay(tblTermine[[#This Row],[Terminart]], tblTermine[[#This Row],[Agent]])</f>
        <v>Feiertag</v>
      </c>
      <c r="H178" s="81" t="str" cm="1">
        <f t="array" ref="H178">MakeSearchTerm(tblTermine[[#This Row],[Mitarbeiter]], tblTermine[[#This Row],[Datum]])</f>
        <v>Lehrmann, Marcel - 32-05-06</v>
      </c>
      <c r="I178" s="81">
        <f>YEAR(tblTermine[[#This Row],[Datum]])</f>
        <v>2032</v>
      </c>
    </row>
    <row r="179" spans="2:9" x14ac:dyDescent="0.25">
      <c r="B179" s="60">
        <v>45806</v>
      </c>
      <c r="C179" s="61" t="s">
        <v>3</v>
      </c>
      <c r="D179" s="61" t="s">
        <v>92</v>
      </c>
      <c r="E179" s="64"/>
      <c r="F179" s="63" cm="1">
        <f t="array" ref="F179">TerminArtId(tblTermine[[#This Row],[Terminart]], tblTermine[[#This Row],[Agent]])</f>
        <v>32</v>
      </c>
      <c r="G179" s="81" t="str" cm="1">
        <f t="array" ref="G179">TerminArtDisplay(tblTermine[[#This Row],[Terminart]], tblTermine[[#This Row],[Agent]])</f>
        <v>Feiertag</v>
      </c>
      <c r="H179" s="81" t="str" cm="1">
        <f t="array" ref="H179">MakeSearchTerm(tblTermine[[#This Row],[Mitarbeiter]], tblTermine[[#This Row],[Datum]])</f>
        <v>Plottek, André - 25-05-29</v>
      </c>
      <c r="I179" s="81">
        <f>YEAR(tblTermine[[#This Row],[Datum]])</f>
        <v>2025</v>
      </c>
    </row>
    <row r="180" spans="2:9" x14ac:dyDescent="0.25">
      <c r="B180" s="60">
        <v>46156</v>
      </c>
      <c r="C180" s="61" t="s">
        <v>3</v>
      </c>
      <c r="D180" s="61" t="s">
        <v>92</v>
      </c>
      <c r="E180" s="64"/>
      <c r="F180" s="63" cm="1">
        <f t="array" ref="F180">TerminArtId(tblTermine[[#This Row],[Terminart]], tblTermine[[#This Row],[Agent]])</f>
        <v>32</v>
      </c>
      <c r="G180" s="81" t="str" cm="1">
        <f t="array" ref="G180">TerminArtDisplay(tblTermine[[#This Row],[Terminart]], tblTermine[[#This Row],[Agent]])</f>
        <v>Feiertag</v>
      </c>
      <c r="H180" s="81" t="str" cm="1">
        <f t="array" ref="H180">MakeSearchTerm(tblTermine[[#This Row],[Mitarbeiter]], tblTermine[[#This Row],[Datum]])</f>
        <v>Plottek, André - 26-05-14</v>
      </c>
      <c r="I180" s="81">
        <f>YEAR(tblTermine[[#This Row],[Datum]])</f>
        <v>2026</v>
      </c>
    </row>
    <row r="181" spans="2:9" x14ac:dyDescent="0.25">
      <c r="B181" s="60">
        <v>46513</v>
      </c>
      <c r="C181" s="61" t="s">
        <v>3</v>
      </c>
      <c r="D181" s="61" t="s">
        <v>92</v>
      </c>
      <c r="E181" s="64"/>
      <c r="F181" s="63" cm="1">
        <f t="array" ref="F181">TerminArtId(tblTermine[[#This Row],[Terminart]], tblTermine[[#This Row],[Agent]])</f>
        <v>32</v>
      </c>
      <c r="G181" s="81" t="str" cm="1">
        <f t="array" ref="G181">TerminArtDisplay(tblTermine[[#This Row],[Terminart]], tblTermine[[#This Row],[Agent]])</f>
        <v>Feiertag</v>
      </c>
      <c r="H181" s="81" t="str" cm="1">
        <f t="array" ref="H181">MakeSearchTerm(tblTermine[[#This Row],[Mitarbeiter]], tblTermine[[#This Row],[Datum]])</f>
        <v>Plottek, André - 27-05-06</v>
      </c>
      <c r="I181" s="81">
        <f>YEAR(tblTermine[[#This Row],[Datum]])</f>
        <v>2027</v>
      </c>
    </row>
    <row r="182" spans="2:9" x14ac:dyDescent="0.25">
      <c r="B182" s="60">
        <v>46898</v>
      </c>
      <c r="C182" s="61" t="s">
        <v>3</v>
      </c>
      <c r="D182" s="61" t="s">
        <v>92</v>
      </c>
      <c r="E182" s="64"/>
      <c r="F182" s="63" cm="1">
        <f t="array" ref="F182">TerminArtId(tblTermine[[#This Row],[Terminart]], tblTermine[[#This Row],[Agent]])</f>
        <v>32</v>
      </c>
      <c r="G182" s="81" t="str" cm="1">
        <f t="array" ref="G182">TerminArtDisplay(tblTermine[[#This Row],[Terminart]], tblTermine[[#This Row],[Agent]])</f>
        <v>Feiertag</v>
      </c>
      <c r="H182" s="81" t="str" cm="1">
        <f t="array" ref="H182">MakeSearchTerm(tblTermine[[#This Row],[Mitarbeiter]], tblTermine[[#This Row],[Datum]])</f>
        <v>Plottek, André - 28-05-25</v>
      </c>
      <c r="I182" s="81">
        <f>YEAR(tblTermine[[#This Row],[Datum]])</f>
        <v>2028</v>
      </c>
    </row>
    <row r="183" spans="2:9" x14ac:dyDescent="0.25">
      <c r="B183" s="60">
        <v>47248</v>
      </c>
      <c r="C183" s="61" t="s">
        <v>3</v>
      </c>
      <c r="D183" s="61" t="s">
        <v>92</v>
      </c>
      <c r="E183" s="64"/>
      <c r="F183" s="63" cm="1">
        <f t="array" ref="F183">TerminArtId(tblTermine[[#This Row],[Terminart]], tblTermine[[#This Row],[Agent]])</f>
        <v>32</v>
      </c>
      <c r="G183" s="81" t="str" cm="1">
        <f t="array" ref="G183">TerminArtDisplay(tblTermine[[#This Row],[Terminart]], tblTermine[[#This Row],[Agent]])</f>
        <v>Feiertag</v>
      </c>
      <c r="H183" s="81" t="str" cm="1">
        <f t="array" ref="H183">MakeSearchTerm(tblTermine[[#This Row],[Mitarbeiter]], tblTermine[[#This Row],[Datum]])</f>
        <v>Plottek, André - 29-05-10</v>
      </c>
      <c r="I183" s="81">
        <f>YEAR(tblTermine[[#This Row],[Datum]])</f>
        <v>2029</v>
      </c>
    </row>
    <row r="184" spans="2:9" x14ac:dyDescent="0.25">
      <c r="B184" s="60">
        <v>47633</v>
      </c>
      <c r="C184" s="61" t="s">
        <v>3</v>
      </c>
      <c r="D184" s="61" t="s">
        <v>92</v>
      </c>
      <c r="E184" s="64"/>
      <c r="F184" s="63" cm="1">
        <f t="array" ref="F184">TerminArtId(tblTermine[[#This Row],[Terminart]], tblTermine[[#This Row],[Agent]])</f>
        <v>32</v>
      </c>
      <c r="G184" s="81" t="str" cm="1">
        <f t="array" ref="G184">TerminArtDisplay(tblTermine[[#This Row],[Terminart]], tblTermine[[#This Row],[Agent]])</f>
        <v>Feiertag</v>
      </c>
      <c r="H184" s="81" t="str" cm="1">
        <f t="array" ref="H184">MakeSearchTerm(tblTermine[[#This Row],[Mitarbeiter]], tblTermine[[#This Row],[Datum]])</f>
        <v>Plottek, André - 30-05-30</v>
      </c>
      <c r="I184" s="81">
        <f>YEAR(tblTermine[[#This Row],[Datum]])</f>
        <v>2030</v>
      </c>
    </row>
    <row r="185" spans="2:9" x14ac:dyDescent="0.25">
      <c r="B185" s="60">
        <v>47990</v>
      </c>
      <c r="C185" s="61" t="s">
        <v>3</v>
      </c>
      <c r="D185" s="61" t="s">
        <v>92</v>
      </c>
      <c r="E185" s="64"/>
      <c r="F185" s="63" cm="1">
        <f t="array" ref="F185">TerminArtId(tblTermine[[#This Row],[Terminart]], tblTermine[[#This Row],[Agent]])</f>
        <v>32</v>
      </c>
      <c r="G185" s="81" t="str" cm="1">
        <f t="array" ref="G185">TerminArtDisplay(tblTermine[[#This Row],[Terminart]], tblTermine[[#This Row],[Agent]])</f>
        <v>Feiertag</v>
      </c>
      <c r="H185" s="81" t="str" cm="1">
        <f t="array" ref="H185">MakeSearchTerm(tblTermine[[#This Row],[Mitarbeiter]], tblTermine[[#This Row],[Datum]])</f>
        <v>Plottek, André - 31-05-22</v>
      </c>
      <c r="I185" s="81">
        <f>YEAR(tblTermine[[#This Row],[Datum]])</f>
        <v>2031</v>
      </c>
    </row>
    <row r="186" spans="2:9" x14ac:dyDescent="0.25">
      <c r="B186" s="60">
        <v>48340</v>
      </c>
      <c r="C186" s="61" t="s">
        <v>3</v>
      </c>
      <c r="D186" s="61" t="s">
        <v>92</v>
      </c>
      <c r="E186" s="64"/>
      <c r="F186" s="63" cm="1">
        <f t="array" ref="F186">TerminArtId(tblTermine[[#This Row],[Terminart]], tblTermine[[#This Row],[Agent]])</f>
        <v>32</v>
      </c>
      <c r="G186" s="81" t="str" cm="1">
        <f t="array" ref="G186">TerminArtDisplay(tblTermine[[#This Row],[Terminart]], tblTermine[[#This Row],[Agent]])</f>
        <v>Feiertag</v>
      </c>
      <c r="H186" s="81" t="str" cm="1">
        <f t="array" ref="H186">MakeSearchTerm(tblTermine[[#This Row],[Mitarbeiter]], tblTermine[[#This Row],[Datum]])</f>
        <v>Plottek, André - 32-05-06</v>
      </c>
      <c r="I186" s="81">
        <f>YEAR(tblTermine[[#This Row],[Datum]])</f>
        <v>2032</v>
      </c>
    </row>
    <row r="187" spans="2:9" x14ac:dyDescent="0.25">
      <c r="B187" s="60">
        <v>45806</v>
      </c>
      <c r="C187" s="61" t="s">
        <v>4</v>
      </c>
      <c r="D187" s="61" t="s">
        <v>92</v>
      </c>
      <c r="E187" s="64"/>
      <c r="F187" s="63" cm="1">
        <f t="array" ref="F187">TerminArtId(tblTermine[[#This Row],[Terminart]], tblTermine[[#This Row],[Agent]])</f>
        <v>32</v>
      </c>
      <c r="G187" s="81" t="str" cm="1">
        <f t="array" ref="G187">TerminArtDisplay(tblTermine[[#This Row],[Terminart]], tblTermine[[#This Row],[Agent]])</f>
        <v>Feiertag</v>
      </c>
      <c r="H187" s="81" t="str" cm="1">
        <f t="array" ref="H187">MakeSearchTerm(tblTermine[[#This Row],[Mitarbeiter]], tblTermine[[#This Row],[Datum]])</f>
        <v>Schweitzer, Sven - 25-05-29</v>
      </c>
      <c r="I187" s="81">
        <f>YEAR(tblTermine[[#This Row],[Datum]])</f>
        <v>2025</v>
      </c>
    </row>
    <row r="188" spans="2:9" x14ac:dyDescent="0.25">
      <c r="B188" s="60">
        <v>46156</v>
      </c>
      <c r="C188" s="61" t="s">
        <v>4</v>
      </c>
      <c r="D188" s="61" t="s">
        <v>92</v>
      </c>
      <c r="E188" s="64"/>
      <c r="F188" s="63" cm="1">
        <f t="array" ref="F188">TerminArtId(tblTermine[[#This Row],[Terminart]], tblTermine[[#This Row],[Agent]])</f>
        <v>32</v>
      </c>
      <c r="G188" s="81" t="str" cm="1">
        <f t="array" ref="G188">TerminArtDisplay(tblTermine[[#This Row],[Terminart]], tblTermine[[#This Row],[Agent]])</f>
        <v>Feiertag</v>
      </c>
      <c r="H188" s="81" t="str" cm="1">
        <f t="array" ref="H188">MakeSearchTerm(tblTermine[[#This Row],[Mitarbeiter]], tblTermine[[#This Row],[Datum]])</f>
        <v>Schweitzer, Sven - 26-05-14</v>
      </c>
      <c r="I188" s="81">
        <f>YEAR(tblTermine[[#This Row],[Datum]])</f>
        <v>2026</v>
      </c>
    </row>
    <row r="189" spans="2:9" x14ac:dyDescent="0.25">
      <c r="B189" s="60">
        <v>46513</v>
      </c>
      <c r="C189" s="61" t="s">
        <v>4</v>
      </c>
      <c r="D189" s="61" t="s">
        <v>92</v>
      </c>
      <c r="E189" s="64"/>
      <c r="F189" s="63" cm="1">
        <f t="array" ref="F189">TerminArtId(tblTermine[[#This Row],[Terminart]], tblTermine[[#This Row],[Agent]])</f>
        <v>32</v>
      </c>
      <c r="G189" s="81" t="str" cm="1">
        <f t="array" ref="G189">TerminArtDisplay(tblTermine[[#This Row],[Terminart]], tblTermine[[#This Row],[Agent]])</f>
        <v>Feiertag</v>
      </c>
      <c r="H189" s="81" t="str" cm="1">
        <f t="array" ref="H189">MakeSearchTerm(tblTermine[[#This Row],[Mitarbeiter]], tblTermine[[#This Row],[Datum]])</f>
        <v>Schweitzer, Sven - 27-05-06</v>
      </c>
      <c r="I189" s="81">
        <f>YEAR(tblTermine[[#This Row],[Datum]])</f>
        <v>2027</v>
      </c>
    </row>
    <row r="190" spans="2:9" x14ac:dyDescent="0.25">
      <c r="B190" s="60">
        <v>46898</v>
      </c>
      <c r="C190" s="61" t="s">
        <v>4</v>
      </c>
      <c r="D190" s="61" t="s">
        <v>92</v>
      </c>
      <c r="E190" s="64"/>
      <c r="F190" s="63" cm="1">
        <f t="array" ref="F190">TerminArtId(tblTermine[[#This Row],[Terminart]], tblTermine[[#This Row],[Agent]])</f>
        <v>32</v>
      </c>
      <c r="G190" s="81" t="str" cm="1">
        <f t="array" ref="G190">TerminArtDisplay(tblTermine[[#This Row],[Terminart]], tblTermine[[#This Row],[Agent]])</f>
        <v>Feiertag</v>
      </c>
      <c r="H190" s="81" t="str" cm="1">
        <f t="array" ref="H190">MakeSearchTerm(tblTermine[[#This Row],[Mitarbeiter]], tblTermine[[#This Row],[Datum]])</f>
        <v>Schweitzer, Sven - 28-05-25</v>
      </c>
      <c r="I190" s="81">
        <f>YEAR(tblTermine[[#This Row],[Datum]])</f>
        <v>2028</v>
      </c>
    </row>
    <row r="191" spans="2:9" x14ac:dyDescent="0.25">
      <c r="B191" s="60">
        <v>47248</v>
      </c>
      <c r="C191" s="61" t="s">
        <v>4</v>
      </c>
      <c r="D191" s="61" t="s">
        <v>92</v>
      </c>
      <c r="E191" s="64"/>
      <c r="F191" s="63" cm="1">
        <f t="array" ref="F191">TerminArtId(tblTermine[[#This Row],[Terminart]], tblTermine[[#This Row],[Agent]])</f>
        <v>32</v>
      </c>
      <c r="G191" s="81" t="str" cm="1">
        <f t="array" ref="G191">TerminArtDisplay(tblTermine[[#This Row],[Terminart]], tblTermine[[#This Row],[Agent]])</f>
        <v>Feiertag</v>
      </c>
      <c r="H191" s="81" t="str" cm="1">
        <f t="array" ref="H191">MakeSearchTerm(tblTermine[[#This Row],[Mitarbeiter]], tblTermine[[#This Row],[Datum]])</f>
        <v>Schweitzer, Sven - 29-05-10</v>
      </c>
      <c r="I191" s="81">
        <f>YEAR(tblTermine[[#This Row],[Datum]])</f>
        <v>2029</v>
      </c>
    </row>
    <row r="192" spans="2:9" x14ac:dyDescent="0.25">
      <c r="B192" s="60">
        <v>47633</v>
      </c>
      <c r="C192" s="61" t="s">
        <v>4</v>
      </c>
      <c r="D192" s="61" t="s">
        <v>92</v>
      </c>
      <c r="E192" s="64"/>
      <c r="F192" s="63" cm="1">
        <f t="array" ref="F192">TerminArtId(tblTermine[[#This Row],[Terminart]], tblTermine[[#This Row],[Agent]])</f>
        <v>32</v>
      </c>
      <c r="G192" s="81" t="str" cm="1">
        <f t="array" ref="G192">TerminArtDisplay(tblTermine[[#This Row],[Terminart]], tblTermine[[#This Row],[Agent]])</f>
        <v>Feiertag</v>
      </c>
      <c r="H192" s="81" t="str" cm="1">
        <f t="array" ref="H192">MakeSearchTerm(tblTermine[[#This Row],[Mitarbeiter]], tblTermine[[#This Row],[Datum]])</f>
        <v>Schweitzer, Sven - 30-05-30</v>
      </c>
      <c r="I192" s="81">
        <f>YEAR(tblTermine[[#This Row],[Datum]])</f>
        <v>2030</v>
      </c>
    </row>
    <row r="193" spans="2:9" x14ac:dyDescent="0.25">
      <c r="B193" s="60">
        <v>47990</v>
      </c>
      <c r="C193" s="61" t="s">
        <v>4</v>
      </c>
      <c r="D193" s="61" t="s">
        <v>92</v>
      </c>
      <c r="E193" s="64"/>
      <c r="F193" s="63" cm="1">
        <f t="array" ref="F193">TerminArtId(tblTermine[[#This Row],[Terminart]], tblTermine[[#This Row],[Agent]])</f>
        <v>32</v>
      </c>
      <c r="G193" s="81" t="str" cm="1">
        <f t="array" ref="G193">TerminArtDisplay(tblTermine[[#This Row],[Terminart]], tblTermine[[#This Row],[Agent]])</f>
        <v>Feiertag</v>
      </c>
      <c r="H193" s="81" t="str" cm="1">
        <f t="array" ref="H193">MakeSearchTerm(tblTermine[[#This Row],[Mitarbeiter]], tblTermine[[#This Row],[Datum]])</f>
        <v>Schweitzer, Sven - 31-05-22</v>
      </c>
      <c r="I193" s="81">
        <f>YEAR(tblTermine[[#This Row],[Datum]])</f>
        <v>2031</v>
      </c>
    </row>
    <row r="194" spans="2:9" x14ac:dyDescent="0.25">
      <c r="B194" s="60">
        <v>48340</v>
      </c>
      <c r="C194" s="61" t="s">
        <v>4</v>
      </c>
      <c r="D194" s="61" t="s">
        <v>92</v>
      </c>
      <c r="E194" s="64"/>
      <c r="F194" s="63" cm="1">
        <f t="array" ref="F194">TerminArtId(tblTermine[[#This Row],[Terminart]], tblTermine[[#This Row],[Agent]])</f>
        <v>32</v>
      </c>
      <c r="G194" s="81" t="str" cm="1">
        <f t="array" ref="G194">TerminArtDisplay(tblTermine[[#This Row],[Terminart]], tblTermine[[#This Row],[Agent]])</f>
        <v>Feiertag</v>
      </c>
      <c r="H194" s="81" t="str" cm="1">
        <f t="array" ref="H194">MakeSearchTerm(tblTermine[[#This Row],[Mitarbeiter]], tblTermine[[#This Row],[Datum]])</f>
        <v>Schweitzer, Sven - 32-05-06</v>
      </c>
      <c r="I194" s="81">
        <f>YEAR(tblTermine[[#This Row],[Datum]])</f>
        <v>2032</v>
      </c>
    </row>
    <row r="195" spans="2:9" x14ac:dyDescent="0.25">
      <c r="B195" s="60">
        <v>45806</v>
      </c>
      <c r="C195" s="61" t="s">
        <v>6</v>
      </c>
      <c r="D195" s="61" t="s">
        <v>92</v>
      </c>
      <c r="E195" s="64"/>
      <c r="F195" s="63" cm="1">
        <f t="array" ref="F195">TerminArtId(tblTermine[[#This Row],[Terminart]], tblTermine[[#This Row],[Agent]])</f>
        <v>32</v>
      </c>
      <c r="G195" s="81" t="str" cm="1">
        <f t="array" ref="G195">TerminArtDisplay(tblTermine[[#This Row],[Terminart]], tblTermine[[#This Row],[Agent]])</f>
        <v>Feiertag</v>
      </c>
      <c r="H195" s="81" t="str" cm="1">
        <f t="array" ref="H195">MakeSearchTerm(tblTermine[[#This Row],[Mitarbeiter]], tblTermine[[#This Row],[Datum]])</f>
        <v>Weber, Joelle - 25-05-29</v>
      </c>
      <c r="I195" s="81">
        <f>YEAR(tblTermine[[#This Row],[Datum]])</f>
        <v>2025</v>
      </c>
    </row>
    <row r="196" spans="2:9" x14ac:dyDescent="0.25">
      <c r="B196" s="60">
        <v>46156</v>
      </c>
      <c r="C196" s="61" t="s">
        <v>6</v>
      </c>
      <c r="D196" s="61" t="s">
        <v>92</v>
      </c>
      <c r="E196" s="64"/>
      <c r="F196" s="63" cm="1">
        <f t="array" ref="F196">TerminArtId(tblTermine[[#This Row],[Terminart]], tblTermine[[#This Row],[Agent]])</f>
        <v>32</v>
      </c>
      <c r="G196" s="81" t="str" cm="1">
        <f t="array" ref="G196">TerminArtDisplay(tblTermine[[#This Row],[Terminart]], tblTermine[[#This Row],[Agent]])</f>
        <v>Feiertag</v>
      </c>
      <c r="H196" s="81" t="str" cm="1">
        <f t="array" ref="H196">MakeSearchTerm(tblTermine[[#This Row],[Mitarbeiter]], tblTermine[[#This Row],[Datum]])</f>
        <v>Weber, Joelle - 26-05-14</v>
      </c>
      <c r="I196" s="81">
        <f>YEAR(tblTermine[[#This Row],[Datum]])</f>
        <v>2026</v>
      </c>
    </row>
    <row r="197" spans="2:9" x14ac:dyDescent="0.25">
      <c r="B197" s="60">
        <v>46513</v>
      </c>
      <c r="C197" s="61" t="s">
        <v>6</v>
      </c>
      <c r="D197" s="61" t="s">
        <v>92</v>
      </c>
      <c r="E197" s="64"/>
      <c r="F197" s="63" cm="1">
        <f t="array" ref="F197">TerminArtId(tblTermine[[#This Row],[Terminart]], tblTermine[[#This Row],[Agent]])</f>
        <v>32</v>
      </c>
      <c r="G197" s="81" t="str" cm="1">
        <f t="array" ref="G197">TerminArtDisplay(tblTermine[[#This Row],[Terminart]], tblTermine[[#This Row],[Agent]])</f>
        <v>Feiertag</v>
      </c>
      <c r="H197" s="81" t="str" cm="1">
        <f t="array" ref="H197">MakeSearchTerm(tblTermine[[#This Row],[Mitarbeiter]], tblTermine[[#This Row],[Datum]])</f>
        <v>Weber, Joelle - 27-05-06</v>
      </c>
      <c r="I197" s="81">
        <f>YEAR(tblTermine[[#This Row],[Datum]])</f>
        <v>2027</v>
      </c>
    </row>
    <row r="198" spans="2:9" x14ac:dyDescent="0.25">
      <c r="B198" s="60">
        <v>46898</v>
      </c>
      <c r="C198" s="61" t="s">
        <v>6</v>
      </c>
      <c r="D198" s="61" t="s">
        <v>92</v>
      </c>
      <c r="E198" s="64"/>
      <c r="F198" s="63" cm="1">
        <f t="array" ref="F198">TerminArtId(tblTermine[[#This Row],[Terminart]], tblTermine[[#This Row],[Agent]])</f>
        <v>32</v>
      </c>
      <c r="G198" s="81" t="str" cm="1">
        <f t="array" ref="G198">TerminArtDisplay(tblTermine[[#This Row],[Terminart]], tblTermine[[#This Row],[Agent]])</f>
        <v>Feiertag</v>
      </c>
      <c r="H198" s="81" t="str" cm="1">
        <f t="array" ref="H198">MakeSearchTerm(tblTermine[[#This Row],[Mitarbeiter]], tblTermine[[#This Row],[Datum]])</f>
        <v>Weber, Joelle - 28-05-25</v>
      </c>
      <c r="I198" s="81">
        <f>YEAR(tblTermine[[#This Row],[Datum]])</f>
        <v>2028</v>
      </c>
    </row>
    <row r="199" spans="2:9" x14ac:dyDescent="0.25">
      <c r="B199" s="60">
        <v>47248</v>
      </c>
      <c r="C199" s="61" t="s">
        <v>6</v>
      </c>
      <c r="D199" s="61" t="s">
        <v>92</v>
      </c>
      <c r="E199" s="64"/>
      <c r="F199" s="63" cm="1">
        <f t="array" ref="F199">TerminArtId(tblTermine[[#This Row],[Terminart]], tblTermine[[#This Row],[Agent]])</f>
        <v>32</v>
      </c>
      <c r="G199" s="81" t="str" cm="1">
        <f t="array" ref="G199">TerminArtDisplay(tblTermine[[#This Row],[Terminart]], tblTermine[[#This Row],[Agent]])</f>
        <v>Feiertag</v>
      </c>
      <c r="H199" s="81" t="str" cm="1">
        <f t="array" ref="H199">MakeSearchTerm(tblTermine[[#This Row],[Mitarbeiter]], tblTermine[[#This Row],[Datum]])</f>
        <v>Weber, Joelle - 29-05-10</v>
      </c>
      <c r="I199" s="81">
        <f>YEAR(tblTermine[[#This Row],[Datum]])</f>
        <v>2029</v>
      </c>
    </row>
    <row r="200" spans="2:9" x14ac:dyDescent="0.25">
      <c r="B200" s="60">
        <v>47633</v>
      </c>
      <c r="C200" s="61" t="s">
        <v>6</v>
      </c>
      <c r="D200" s="61" t="s">
        <v>92</v>
      </c>
      <c r="E200" s="64"/>
      <c r="F200" s="63" cm="1">
        <f t="array" ref="F200">TerminArtId(tblTermine[[#This Row],[Terminart]], tblTermine[[#This Row],[Agent]])</f>
        <v>32</v>
      </c>
      <c r="G200" s="81" t="str" cm="1">
        <f t="array" ref="G200">TerminArtDisplay(tblTermine[[#This Row],[Terminart]], tblTermine[[#This Row],[Agent]])</f>
        <v>Feiertag</v>
      </c>
      <c r="H200" s="81" t="str" cm="1">
        <f t="array" ref="H200">MakeSearchTerm(tblTermine[[#This Row],[Mitarbeiter]], tblTermine[[#This Row],[Datum]])</f>
        <v>Weber, Joelle - 30-05-30</v>
      </c>
      <c r="I200" s="81">
        <f>YEAR(tblTermine[[#This Row],[Datum]])</f>
        <v>2030</v>
      </c>
    </row>
    <row r="201" spans="2:9" x14ac:dyDescent="0.25">
      <c r="B201" s="60">
        <v>47990</v>
      </c>
      <c r="C201" s="61" t="s">
        <v>6</v>
      </c>
      <c r="D201" s="61" t="s">
        <v>92</v>
      </c>
      <c r="E201" s="64"/>
      <c r="F201" s="63" cm="1">
        <f t="array" ref="F201">TerminArtId(tblTermine[[#This Row],[Terminart]], tblTermine[[#This Row],[Agent]])</f>
        <v>32</v>
      </c>
      <c r="G201" s="81" t="str" cm="1">
        <f t="array" ref="G201">TerminArtDisplay(tblTermine[[#This Row],[Terminart]], tblTermine[[#This Row],[Agent]])</f>
        <v>Feiertag</v>
      </c>
      <c r="H201" s="81" t="str" cm="1">
        <f t="array" ref="H201">MakeSearchTerm(tblTermine[[#This Row],[Mitarbeiter]], tblTermine[[#This Row],[Datum]])</f>
        <v>Weber, Joelle - 31-05-22</v>
      </c>
      <c r="I201" s="81">
        <f>YEAR(tblTermine[[#This Row],[Datum]])</f>
        <v>2031</v>
      </c>
    </row>
    <row r="202" spans="2:9" x14ac:dyDescent="0.25">
      <c r="B202" s="60">
        <v>48340</v>
      </c>
      <c r="C202" s="61" t="s">
        <v>6</v>
      </c>
      <c r="D202" s="61" t="s">
        <v>92</v>
      </c>
      <c r="E202" s="64"/>
      <c r="F202" s="63" cm="1">
        <f t="array" ref="F202">TerminArtId(tblTermine[[#This Row],[Terminart]], tblTermine[[#This Row],[Agent]])</f>
        <v>32</v>
      </c>
      <c r="G202" s="81" t="str" cm="1">
        <f t="array" ref="G202">TerminArtDisplay(tblTermine[[#This Row],[Terminart]], tblTermine[[#This Row],[Agent]])</f>
        <v>Feiertag</v>
      </c>
      <c r="H202" s="81" t="str" cm="1">
        <f t="array" ref="H202">MakeSearchTerm(tblTermine[[#This Row],[Mitarbeiter]], tblTermine[[#This Row],[Datum]])</f>
        <v>Weber, Joelle - 32-05-06</v>
      </c>
      <c r="I202" s="81">
        <f>YEAR(tblTermine[[#This Row],[Datum]])</f>
        <v>2032</v>
      </c>
    </row>
    <row r="203" spans="2:9" x14ac:dyDescent="0.25">
      <c r="B203" s="60">
        <v>45817</v>
      </c>
      <c r="C203" s="61" t="s">
        <v>1</v>
      </c>
      <c r="D203" s="61" t="s">
        <v>92</v>
      </c>
      <c r="E203" s="64"/>
      <c r="F203" s="63" cm="1">
        <f t="array" ref="F203">TerminArtId(tblTermine[[#This Row],[Terminart]], tblTermine[[#This Row],[Agent]])</f>
        <v>32</v>
      </c>
      <c r="G203" s="81" t="str" cm="1">
        <f t="array" ref="G203">TerminArtDisplay(tblTermine[[#This Row],[Terminart]], tblTermine[[#This Row],[Agent]])</f>
        <v>Feiertag</v>
      </c>
      <c r="H203" s="81" t="str" cm="1">
        <f t="array" ref="H203">MakeSearchTerm(tblTermine[[#This Row],[Mitarbeiter]], tblTermine[[#This Row],[Datum]])</f>
        <v>Lehrmann, Marcel - 25-06-09</v>
      </c>
      <c r="I203" s="81">
        <f>YEAR(tblTermine[[#This Row],[Datum]])</f>
        <v>2025</v>
      </c>
    </row>
    <row r="204" spans="2:9" x14ac:dyDescent="0.25">
      <c r="B204" s="60">
        <v>46167</v>
      </c>
      <c r="C204" s="61" t="s">
        <v>1</v>
      </c>
      <c r="D204" s="61" t="s">
        <v>92</v>
      </c>
      <c r="E204" s="64"/>
      <c r="F204" s="63" cm="1">
        <f t="array" ref="F204">TerminArtId(tblTermine[[#This Row],[Terminart]], tblTermine[[#This Row],[Agent]])</f>
        <v>32</v>
      </c>
      <c r="G204" s="81" t="str" cm="1">
        <f t="array" ref="G204">TerminArtDisplay(tblTermine[[#This Row],[Terminart]], tblTermine[[#This Row],[Agent]])</f>
        <v>Feiertag</v>
      </c>
      <c r="H204" s="81" t="str" cm="1">
        <f t="array" ref="H204">MakeSearchTerm(tblTermine[[#This Row],[Mitarbeiter]], tblTermine[[#This Row],[Datum]])</f>
        <v>Lehrmann, Marcel - 26-05-25</v>
      </c>
      <c r="I204" s="81">
        <f>YEAR(tblTermine[[#This Row],[Datum]])</f>
        <v>2026</v>
      </c>
    </row>
    <row r="205" spans="2:9" x14ac:dyDescent="0.25">
      <c r="B205" s="60">
        <v>46524</v>
      </c>
      <c r="C205" s="61" t="s">
        <v>1</v>
      </c>
      <c r="D205" s="61" t="s">
        <v>92</v>
      </c>
      <c r="E205" s="64"/>
      <c r="F205" s="63" cm="1">
        <f t="array" ref="F205">TerminArtId(tblTermine[[#This Row],[Terminart]], tblTermine[[#This Row],[Agent]])</f>
        <v>32</v>
      </c>
      <c r="G205" s="81" t="str" cm="1">
        <f t="array" ref="G205">TerminArtDisplay(tblTermine[[#This Row],[Terminart]], tblTermine[[#This Row],[Agent]])</f>
        <v>Feiertag</v>
      </c>
      <c r="H205" s="81" t="str" cm="1">
        <f t="array" ref="H205">MakeSearchTerm(tblTermine[[#This Row],[Mitarbeiter]], tblTermine[[#This Row],[Datum]])</f>
        <v>Lehrmann, Marcel - 27-05-17</v>
      </c>
      <c r="I205" s="81">
        <f>YEAR(tblTermine[[#This Row],[Datum]])</f>
        <v>2027</v>
      </c>
    </row>
    <row r="206" spans="2:9" x14ac:dyDescent="0.25">
      <c r="B206" s="60">
        <v>46909</v>
      </c>
      <c r="C206" s="61" t="s">
        <v>1</v>
      </c>
      <c r="D206" s="61" t="s">
        <v>92</v>
      </c>
      <c r="E206" s="64"/>
      <c r="F206" s="63" cm="1">
        <f t="array" ref="F206">TerminArtId(tblTermine[[#This Row],[Terminart]], tblTermine[[#This Row],[Agent]])</f>
        <v>32</v>
      </c>
      <c r="G206" s="81" t="str" cm="1">
        <f t="array" ref="G206">TerminArtDisplay(tblTermine[[#This Row],[Terminart]], tblTermine[[#This Row],[Agent]])</f>
        <v>Feiertag</v>
      </c>
      <c r="H206" s="81" t="str" cm="1">
        <f t="array" ref="H206">MakeSearchTerm(tblTermine[[#This Row],[Mitarbeiter]], tblTermine[[#This Row],[Datum]])</f>
        <v>Lehrmann, Marcel - 28-06-05</v>
      </c>
      <c r="I206" s="81">
        <f>YEAR(tblTermine[[#This Row],[Datum]])</f>
        <v>2028</v>
      </c>
    </row>
    <row r="207" spans="2:9" x14ac:dyDescent="0.25">
      <c r="B207" s="60">
        <v>47259</v>
      </c>
      <c r="C207" s="61" t="s">
        <v>1</v>
      </c>
      <c r="D207" s="61" t="s">
        <v>92</v>
      </c>
      <c r="E207" s="64"/>
      <c r="F207" s="63" cm="1">
        <f t="array" ref="F207">TerminArtId(tblTermine[[#This Row],[Terminart]], tblTermine[[#This Row],[Agent]])</f>
        <v>32</v>
      </c>
      <c r="G207" s="81" t="str" cm="1">
        <f t="array" ref="G207">TerminArtDisplay(tblTermine[[#This Row],[Terminart]], tblTermine[[#This Row],[Agent]])</f>
        <v>Feiertag</v>
      </c>
      <c r="H207" s="81" t="str" cm="1">
        <f t="array" ref="H207">MakeSearchTerm(tblTermine[[#This Row],[Mitarbeiter]], tblTermine[[#This Row],[Datum]])</f>
        <v>Lehrmann, Marcel - 29-05-21</v>
      </c>
      <c r="I207" s="81">
        <f>YEAR(tblTermine[[#This Row],[Datum]])</f>
        <v>2029</v>
      </c>
    </row>
    <row r="208" spans="2:9" x14ac:dyDescent="0.25">
      <c r="B208" s="60">
        <v>47644</v>
      </c>
      <c r="C208" s="61" t="s">
        <v>1</v>
      </c>
      <c r="D208" s="61" t="s">
        <v>92</v>
      </c>
      <c r="E208" s="64"/>
      <c r="F208" s="63" cm="1">
        <f t="array" ref="F208">TerminArtId(tblTermine[[#This Row],[Terminart]], tblTermine[[#This Row],[Agent]])</f>
        <v>32</v>
      </c>
      <c r="G208" s="81" t="str" cm="1">
        <f t="array" ref="G208">TerminArtDisplay(tblTermine[[#This Row],[Terminart]], tblTermine[[#This Row],[Agent]])</f>
        <v>Feiertag</v>
      </c>
      <c r="H208" s="81" t="str" cm="1">
        <f t="array" ref="H208">MakeSearchTerm(tblTermine[[#This Row],[Mitarbeiter]], tblTermine[[#This Row],[Datum]])</f>
        <v>Lehrmann, Marcel - 30-06-10</v>
      </c>
      <c r="I208" s="81">
        <f>YEAR(tblTermine[[#This Row],[Datum]])</f>
        <v>2030</v>
      </c>
    </row>
    <row r="209" spans="2:9" x14ac:dyDescent="0.25">
      <c r="B209" s="60">
        <v>48001</v>
      </c>
      <c r="C209" s="61" t="s">
        <v>1</v>
      </c>
      <c r="D209" s="61" t="s">
        <v>92</v>
      </c>
      <c r="E209" s="64"/>
      <c r="F209" s="63" cm="1">
        <f t="array" ref="F209">TerminArtId(tblTermine[[#This Row],[Terminart]], tblTermine[[#This Row],[Agent]])</f>
        <v>32</v>
      </c>
      <c r="G209" s="81" t="str" cm="1">
        <f t="array" ref="G209">TerminArtDisplay(tblTermine[[#This Row],[Terminart]], tblTermine[[#This Row],[Agent]])</f>
        <v>Feiertag</v>
      </c>
      <c r="H209" s="81" t="str" cm="1">
        <f t="array" ref="H209">MakeSearchTerm(tblTermine[[#This Row],[Mitarbeiter]], tblTermine[[#This Row],[Datum]])</f>
        <v>Lehrmann, Marcel - 31-06-02</v>
      </c>
      <c r="I209" s="81">
        <f>YEAR(tblTermine[[#This Row],[Datum]])</f>
        <v>2031</v>
      </c>
    </row>
    <row r="210" spans="2:9" x14ac:dyDescent="0.25">
      <c r="B210" s="60">
        <v>48351</v>
      </c>
      <c r="C210" s="61" t="s">
        <v>1</v>
      </c>
      <c r="D210" s="61" t="s">
        <v>92</v>
      </c>
      <c r="E210" s="64"/>
      <c r="F210" s="63" cm="1">
        <f t="array" ref="F210">TerminArtId(tblTermine[[#This Row],[Terminart]], tblTermine[[#This Row],[Agent]])</f>
        <v>32</v>
      </c>
      <c r="G210" s="81" t="str" cm="1">
        <f t="array" ref="G210">TerminArtDisplay(tblTermine[[#This Row],[Terminart]], tblTermine[[#This Row],[Agent]])</f>
        <v>Feiertag</v>
      </c>
      <c r="H210" s="81" t="str" cm="1">
        <f t="array" ref="H210">MakeSearchTerm(tblTermine[[#This Row],[Mitarbeiter]], tblTermine[[#This Row],[Datum]])</f>
        <v>Lehrmann, Marcel - 32-05-17</v>
      </c>
      <c r="I210" s="81">
        <f>YEAR(tblTermine[[#This Row],[Datum]])</f>
        <v>2032</v>
      </c>
    </row>
    <row r="211" spans="2:9" x14ac:dyDescent="0.25">
      <c r="B211" s="60">
        <v>45817</v>
      </c>
      <c r="C211" s="61" t="s">
        <v>3</v>
      </c>
      <c r="D211" s="61" t="s">
        <v>92</v>
      </c>
      <c r="E211" s="64"/>
      <c r="F211" s="63" cm="1">
        <f t="array" ref="F211">TerminArtId(tblTermine[[#This Row],[Terminart]], tblTermine[[#This Row],[Agent]])</f>
        <v>32</v>
      </c>
      <c r="G211" s="81" t="str" cm="1">
        <f t="array" ref="G211">TerminArtDisplay(tblTermine[[#This Row],[Terminart]], tblTermine[[#This Row],[Agent]])</f>
        <v>Feiertag</v>
      </c>
      <c r="H211" s="81" t="str" cm="1">
        <f t="array" ref="H211">MakeSearchTerm(tblTermine[[#This Row],[Mitarbeiter]], tblTermine[[#This Row],[Datum]])</f>
        <v>Plottek, André - 25-06-09</v>
      </c>
      <c r="I211" s="81">
        <f>YEAR(tblTermine[[#This Row],[Datum]])</f>
        <v>2025</v>
      </c>
    </row>
    <row r="212" spans="2:9" x14ac:dyDescent="0.25">
      <c r="B212" s="60">
        <v>46167</v>
      </c>
      <c r="C212" s="61" t="s">
        <v>3</v>
      </c>
      <c r="D212" s="61" t="s">
        <v>92</v>
      </c>
      <c r="E212" s="64"/>
      <c r="F212" s="63" cm="1">
        <f t="array" ref="F212">TerminArtId(tblTermine[[#This Row],[Terminart]], tblTermine[[#This Row],[Agent]])</f>
        <v>32</v>
      </c>
      <c r="G212" s="81" t="str" cm="1">
        <f t="array" ref="G212">TerminArtDisplay(tblTermine[[#This Row],[Terminart]], tblTermine[[#This Row],[Agent]])</f>
        <v>Feiertag</v>
      </c>
      <c r="H212" s="81" t="str" cm="1">
        <f t="array" ref="H212">MakeSearchTerm(tblTermine[[#This Row],[Mitarbeiter]], tblTermine[[#This Row],[Datum]])</f>
        <v>Plottek, André - 26-05-25</v>
      </c>
      <c r="I212" s="81">
        <f>YEAR(tblTermine[[#This Row],[Datum]])</f>
        <v>2026</v>
      </c>
    </row>
    <row r="213" spans="2:9" x14ac:dyDescent="0.25">
      <c r="B213" s="60">
        <v>46524</v>
      </c>
      <c r="C213" s="61" t="s">
        <v>3</v>
      </c>
      <c r="D213" s="61" t="s">
        <v>92</v>
      </c>
      <c r="E213" s="64"/>
      <c r="F213" s="63" cm="1">
        <f t="array" ref="F213">TerminArtId(tblTermine[[#This Row],[Terminart]], tblTermine[[#This Row],[Agent]])</f>
        <v>32</v>
      </c>
      <c r="G213" s="81" t="str" cm="1">
        <f t="array" ref="G213">TerminArtDisplay(tblTermine[[#This Row],[Terminart]], tblTermine[[#This Row],[Agent]])</f>
        <v>Feiertag</v>
      </c>
      <c r="H213" s="81" t="str" cm="1">
        <f t="array" ref="H213">MakeSearchTerm(tblTermine[[#This Row],[Mitarbeiter]], tblTermine[[#This Row],[Datum]])</f>
        <v>Plottek, André - 27-05-17</v>
      </c>
      <c r="I213" s="81">
        <f>YEAR(tblTermine[[#This Row],[Datum]])</f>
        <v>2027</v>
      </c>
    </row>
    <row r="214" spans="2:9" x14ac:dyDescent="0.25">
      <c r="B214" s="60">
        <v>46909</v>
      </c>
      <c r="C214" s="61" t="s">
        <v>3</v>
      </c>
      <c r="D214" s="61" t="s">
        <v>92</v>
      </c>
      <c r="E214" s="64"/>
      <c r="F214" s="63" cm="1">
        <f t="array" ref="F214">TerminArtId(tblTermine[[#This Row],[Terminart]], tblTermine[[#This Row],[Agent]])</f>
        <v>32</v>
      </c>
      <c r="G214" s="81" t="str" cm="1">
        <f t="array" ref="G214">TerminArtDisplay(tblTermine[[#This Row],[Terminart]], tblTermine[[#This Row],[Agent]])</f>
        <v>Feiertag</v>
      </c>
      <c r="H214" s="81" t="str" cm="1">
        <f t="array" ref="H214">MakeSearchTerm(tblTermine[[#This Row],[Mitarbeiter]], tblTermine[[#This Row],[Datum]])</f>
        <v>Plottek, André - 28-06-05</v>
      </c>
      <c r="I214" s="81">
        <f>YEAR(tblTermine[[#This Row],[Datum]])</f>
        <v>2028</v>
      </c>
    </row>
    <row r="215" spans="2:9" x14ac:dyDescent="0.25">
      <c r="B215" s="60">
        <v>47259</v>
      </c>
      <c r="C215" s="61" t="s">
        <v>3</v>
      </c>
      <c r="D215" s="61" t="s">
        <v>92</v>
      </c>
      <c r="E215" s="64"/>
      <c r="F215" s="63" cm="1">
        <f t="array" ref="F215">TerminArtId(tblTermine[[#This Row],[Terminart]], tblTermine[[#This Row],[Agent]])</f>
        <v>32</v>
      </c>
      <c r="G215" s="81" t="str" cm="1">
        <f t="array" ref="G215">TerminArtDisplay(tblTermine[[#This Row],[Terminart]], tblTermine[[#This Row],[Agent]])</f>
        <v>Feiertag</v>
      </c>
      <c r="H215" s="81" t="str" cm="1">
        <f t="array" ref="H215">MakeSearchTerm(tblTermine[[#This Row],[Mitarbeiter]], tblTermine[[#This Row],[Datum]])</f>
        <v>Plottek, André - 29-05-21</v>
      </c>
      <c r="I215" s="81">
        <f>YEAR(tblTermine[[#This Row],[Datum]])</f>
        <v>2029</v>
      </c>
    </row>
    <row r="216" spans="2:9" x14ac:dyDescent="0.25">
      <c r="B216" s="60">
        <v>47644</v>
      </c>
      <c r="C216" s="61" t="s">
        <v>3</v>
      </c>
      <c r="D216" s="61" t="s">
        <v>92</v>
      </c>
      <c r="E216" s="64"/>
      <c r="F216" s="63" cm="1">
        <f t="array" ref="F216">TerminArtId(tblTermine[[#This Row],[Terminart]], tblTermine[[#This Row],[Agent]])</f>
        <v>32</v>
      </c>
      <c r="G216" s="81" t="str" cm="1">
        <f t="array" ref="G216">TerminArtDisplay(tblTermine[[#This Row],[Terminart]], tblTermine[[#This Row],[Agent]])</f>
        <v>Feiertag</v>
      </c>
      <c r="H216" s="81" t="str" cm="1">
        <f t="array" ref="H216">MakeSearchTerm(tblTermine[[#This Row],[Mitarbeiter]], tblTermine[[#This Row],[Datum]])</f>
        <v>Plottek, André - 30-06-10</v>
      </c>
      <c r="I216" s="81">
        <f>YEAR(tblTermine[[#This Row],[Datum]])</f>
        <v>2030</v>
      </c>
    </row>
    <row r="217" spans="2:9" x14ac:dyDescent="0.25">
      <c r="B217" s="60">
        <v>48001</v>
      </c>
      <c r="C217" s="61" t="s">
        <v>3</v>
      </c>
      <c r="D217" s="61" t="s">
        <v>92</v>
      </c>
      <c r="E217" s="64"/>
      <c r="F217" s="63" cm="1">
        <f t="array" ref="F217">TerminArtId(tblTermine[[#This Row],[Terminart]], tblTermine[[#This Row],[Agent]])</f>
        <v>32</v>
      </c>
      <c r="G217" s="81" t="str" cm="1">
        <f t="array" ref="G217">TerminArtDisplay(tblTermine[[#This Row],[Terminart]], tblTermine[[#This Row],[Agent]])</f>
        <v>Feiertag</v>
      </c>
      <c r="H217" s="81" t="str" cm="1">
        <f t="array" ref="H217">MakeSearchTerm(tblTermine[[#This Row],[Mitarbeiter]], tblTermine[[#This Row],[Datum]])</f>
        <v>Plottek, André - 31-06-02</v>
      </c>
      <c r="I217" s="81">
        <f>YEAR(tblTermine[[#This Row],[Datum]])</f>
        <v>2031</v>
      </c>
    </row>
    <row r="218" spans="2:9" x14ac:dyDescent="0.25">
      <c r="B218" s="60">
        <v>48351</v>
      </c>
      <c r="C218" s="61" t="s">
        <v>3</v>
      </c>
      <c r="D218" s="61" t="s">
        <v>92</v>
      </c>
      <c r="E218" s="64"/>
      <c r="F218" s="63" cm="1">
        <f t="array" ref="F218">TerminArtId(tblTermine[[#This Row],[Terminart]], tblTermine[[#This Row],[Agent]])</f>
        <v>32</v>
      </c>
      <c r="G218" s="81" t="str" cm="1">
        <f t="array" ref="G218">TerminArtDisplay(tblTermine[[#This Row],[Terminart]], tblTermine[[#This Row],[Agent]])</f>
        <v>Feiertag</v>
      </c>
      <c r="H218" s="81" t="str" cm="1">
        <f t="array" ref="H218">MakeSearchTerm(tblTermine[[#This Row],[Mitarbeiter]], tblTermine[[#This Row],[Datum]])</f>
        <v>Plottek, André - 32-05-17</v>
      </c>
      <c r="I218" s="81">
        <f>YEAR(tblTermine[[#This Row],[Datum]])</f>
        <v>2032</v>
      </c>
    </row>
    <row r="219" spans="2:9" x14ac:dyDescent="0.25">
      <c r="B219" s="60">
        <v>45817</v>
      </c>
      <c r="C219" s="61" t="s">
        <v>4</v>
      </c>
      <c r="D219" s="61" t="s">
        <v>92</v>
      </c>
      <c r="E219" s="64"/>
      <c r="F219" s="63" cm="1">
        <f t="array" ref="F219">TerminArtId(tblTermine[[#This Row],[Terminart]], tblTermine[[#This Row],[Agent]])</f>
        <v>32</v>
      </c>
      <c r="G219" s="81" t="str" cm="1">
        <f t="array" ref="G219">TerminArtDisplay(tblTermine[[#This Row],[Terminart]], tblTermine[[#This Row],[Agent]])</f>
        <v>Feiertag</v>
      </c>
      <c r="H219" s="81" t="str" cm="1">
        <f t="array" ref="H219">MakeSearchTerm(tblTermine[[#This Row],[Mitarbeiter]], tblTermine[[#This Row],[Datum]])</f>
        <v>Schweitzer, Sven - 25-06-09</v>
      </c>
      <c r="I219" s="81">
        <f>YEAR(tblTermine[[#This Row],[Datum]])</f>
        <v>2025</v>
      </c>
    </row>
    <row r="220" spans="2:9" x14ac:dyDescent="0.25">
      <c r="B220" s="60">
        <v>46167</v>
      </c>
      <c r="C220" s="61" t="s">
        <v>4</v>
      </c>
      <c r="D220" s="61" t="s">
        <v>92</v>
      </c>
      <c r="E220" s="64"/>
      <c r="F220" s="63" cm="1">
        <f t="array" ref="F220">TerminArtId(tblTermine[[#This Row],[Terminart]], tblTermine[[#This Row],[Agent]])</f>
        <v>32</v>
      </c>
      <c r="G220" s="81" t="str" cm="1">
        <f t="array" ref="G220">TerminArtDisplay(tblTermine[[#This Row],[Terminart]], tblTermine[[#This Row],[Agent]])</f>
        <v>Feiertag</v>
      </c>
      <c r="H220" s="81" t="str" cm="1">
        <f t="array" ref="H220">MakeSearchTerm(tblTermine[[#This Row],[Mitarbeiter]], tblTermine[[#This Row],[Datum]])</f>
        <v>Schweitzer, Sven - 26-05-25</v>
      </c>
      <c r="I220" s="81">
        <f>YEAR(tblTermine[[#This Row],[Datum]])</f>
        <v>2026</v>
      </c>
    </row>
    <row r="221" spans="2:9" x14ac:dyDescent="0.25">
      <c r="B221" s="60">
        <v>46524</v>
      </c>
      <c r="C221" s="61" t="s">
        <v>4</v>
      </c>
      <c r="D221" s="61" t="s">
        <v>92</v>
      </c>
      <c r="E221" s="64"/>
      <c r="F221" s="63" cm="1">
        <f t="array" ref="F221">TerminArtId(tblTermine[[#This Row],[Terminart]], tblTermine[[#This Row],[Agent]])</f>
        <v>32</v>
      </c>
      <c r="G221" s="81" t="str" cm="1">
        <f t="array" ref="G221">TerminArtDisplay(tblTermine[[#This Row],[Terminart]], tblTermine[[#This Row],[Agent]])</f>
        <v>Feiertag</v>
      </c>
      <c r="H221" s="81" t="str" cm="1">
        <f t="array" ref="H221">MakeSearchTerm(tblTermine[[#This Row],[Mitarbeiter]], tblTermine[[#This Row],[Datum]])</f>
        <v>Schweitzer, Sven - 27-05-17</v>
      </c>
      <c r="I221" s="81">
        <f>YEAR(tblTermine[[#This Row],[Datum]])</f>
        <v>2027</v>
      </c>
    </row>
    <row r="222" spans="2:9" x14ac:dyDescent="0.25">
      <c r="B222" s="60">
        <v>46909</v>
      </c>
      <c r="C222" s="61" t="s">
        <v>4</v>
      </c>
      <c r="D222" s="61" t="s">
        <v>92</v>
      </c>
      <c r="E222" s="64"/>
      <c r="F222" s="63" cm="1">
        <f t="array" ref="F222">TerminArtId(tblTermine[[#This Row],[Terminart]], tblTermine[[#This Row],[Agent]])</f>
        <v>32</v>
      </c>
      <c r="G222" s="81" t="str" cm="1">
        <f t="array" ref="G222">TerminArtDisplay(tblTermine[[#This Row],[Terminart]], tblTermine[[#This Row],[Agent]])</f>
        <v>Feiertag</v>
      </c>
      <c r="H222" s="81" t="str" cm="1">
        <f t="array" ref="H222">MakeSearchTerm(tblTermine[[#This Row],[Mitarbeiter]], tblTermine[[#This Row],[Datum]])</f>
        <v>Schweitzer, Sven - 28-06-05</v>
      </c>
      <c r="I222" s="81">
        <f>YEAR(tblTermine[[#This Row],[Datum]])</f>
        <v>2028</v>
      </c>
    </row>
    <row r="223" spans="2:9" x14ac:dyDescent="0.25">
      <c r="B223" s="60">
        <v>47259</v>
      </c>
      <c r="C223" s="61" t="s">
        <v>4</v>
      </c>
      <c r="D223" s="61" t="s">
        <v>92</v>
      </c>
      <c r="E223" s="64"/>
      <c r="F223" s="63" cm="1">
        <f t="array" ref="F223">TerminArtId(tblTermine[[#This Row],[Terminart]], tblTermine[[#This Row],[Agent]])</f>
        <v>32</v>
      </c>
      <c r="G223" s="81" t="str" cm="1">
        <f t="array" ref="G223">TerminArtDisplay(tblTermine[[#This Row],[Terminart]], tblTermine[[#This Row],[Agent]])</f>
        <v>Feiertag</v>
      </c>
      <c r="H223" s="81" t="str" cm="1">
        <f t="array" ref="H223">MakeSearchTerm(tblTermine[[#This Row],[Mitarbeiter]], tblTermine[[#This Row],[Datum]])</f>
        <v>Schweitzer, Sven - 29-05-21</v>
      </c>
      <c r="I223" s="81">
        <f>YEAR(tblTermine[[#This Row],[Datum]])</f>
        <v>2029</v>
      </c>
    </row>
    <row r="224" spans="2:9" x14ac:dyDescent="0.25">
      <c r="B224" s="60">
        <v>47644</v>
      </c>
      <c r="C224" s="61" t="s">
        <v>4</v>
      </c>
      <c r="D224" s="61" t="s">
        <v>92</v>
      </c>
      <c r="E224" s="64"/>
      <c r="F224" s="63" cm="1">
        <f t="array" ref="F224">TerminArtId(tblTermine[[#This Row],[Terminart]], tblTermine[[#This Row],[Agent]])</f>
        <v>32</v>
      </c>
      <c r="G224" s="81" t="str" cm="1">
        <f t="array" ref="G224">TerminArtDisplay(tblTermine[[#This Row],[Terminart]], tblTermine[[#This Row],[Agent]])</f>
        <v>Feiertag</v>
      </c>
      <c r="H224" s="81" t="str" cm="1">
        <f t="array" ref="H224">MakeSearchTerm(tblTermine[[#This Row],[Mitarbeiter]], tblTermine[[#This Row],[Datum]])</f>
        <v>Schweitzer, Sven - 30-06-10</v>
      </c>
      <c r="I224" s="81">
        <f>YEAR(tblTermine[[#This Row],[Datum]])</f>
        <v>2030</v>
      </c>
    </row>
    <row r="225" spans="2:9" x14ac:dyDescent="0.25">
      <c r="B225" s="60">
        <v>48001</v>
      </c>
      <c r="C225" s="61" t="s">
        <v>4</v>
      </c>
      <c r="D225" s="61" t="s">
        <v>92</v>
      </c>
      <c r="E225" s="64"/>
      <c r="F225" s="63" cm="1">
        <f t="array" ref="F225">TerminArtId(tblTermine[[#This Row],[Terminart]], tblTermine[[#This Row],[Agent]])</f>
        <v>32</v>
      </c>
      <c r="G225" s="81" t="str" cm="1">
        <f t="array" ref="G225">TerminArtDisplay(tblTermine[[#This Row],[Terminart]], tblTermine[[#This Row],[Agent]])</f>
        <v>Feiertag</v>
      </c>
      <c r="H225" s="81" t="str" cm="1">
        <f t="array" ref="H225">MakeSearchTerm(tblTermine[[#This Row],[Mitarbeiter]], tblTermine[[#This Row],[Datum]])</f>
        <v>Schweitzer, Sven - 31-06-02</v>
      </c>
      <c r="I225" s="81">
        <f>YEAR(tblTermine[[#This Row],[Datum]])</f>
        <v>2031</v>
      </c>
    </row>
    <row r="226" spans="2:9" x14ac:dyDescent="0.25">
      <c r="B226" s="60">
        <v>48351</v>
      </c>
      <c r="C226" s="61" t="s">
        <v>4</v>
      </c>
      <c r="D226" s="61" t="s">
        <v>92</v>
      </c>
      <c r="E226" s="64"/>
      <c r="F226" s="63" cm="1">
        <f t="array" ref="F226">TerminArtId(tblTermine[[#This Row],[Terminart]], tblTermine[[#This Row],[Agent]])</f>
        <v>32</v>
      </c>
      <c r="G226" s="81" t="str" cm="1">
        <f t="array" ref="G226">TerminArtDisplay(tblTermine[[#This Row],[Terminart]], tblTermine[[#This Row],[Agent]])</f>
        <v>Feiertag</v>
      </c>
      <c r="H226" s="81" t="str" cm="1">
        <f t="array" ref="H226">MakeSearchTerm(tblTermine[[#This Row],[Mitarbeiter]], tblTermine[[#This Row],[Datum]])</f>
        <v>Schweitzer, Sven - 32-05-17</v>
      </c>
      <c r="I226" s="81">
        <f>YEAR(tblTermine[[#This Row],[Datum]])</f>
        <v>2032</v>
      </c>
    </row>
    <row r="227" spans="2:9" x14ac:dyDescent="0.25">
      <c r="B227" s="60">
        <v>45817</v>
      </c>
      <c r="C227" s="61" t="s">
        <v>6</v>
      </c>
      <c r="D227" s="61" t="s">
        <v>92</v>
      </c>
      <c r="E227" s="64"/>
      <c r="F227" s="63" cm="1">
        <f t="array" ref="F227">TerminArtId(tblTermine[[#This Row],[Terminart]], tblTermine[[#This Row],[Agent]])</f>
        <v>32</v>
      </c>
      <c r="G227" s="81" t="str" cm="1">
        <f t="array" ref="G227">TerminArtDisplay(tblTermine[[#This Row],[Terminart]], tblTermine[[#This Row],[Agent]])</f>
        <v>Feiertag</v>
      </c>
      <c r="H227" s="81" t="str" cm="1">
        <f t="array" ref="H227">MakeSearchTerm(tblTermine[[#This Row],[Mitarbeiter]], tblTermine[[#This Row],[Datum]])</f>
        <v>Weber, Joelle - 25-06-09</v>
      </c>
      <c r="I227" s="81">
        <f>YEAR(tblTermine[[#This Row],[Datum]])</f>
        <v>2025</v>
      </c>
    </row>
    <row r="228" spans="2:9" x14ac:dyDescent="0.25">
      <c r="B228" s="60">
        <v>46167</v>
      </c>
      <c r="C228" s="61" t="s">
        <v>6</v>
      </c>
      <c r="D228" s="61" t="s">
        <v>92</v>
      </c>
      <c r="E228" s="64"/>
      <c r="F228" s="63" cm="1">
        <f t="array" ref="F228">TerminArtId(tblTermine[[#This Row],[Terminart]], tblTermine[[#This Row],[Agent]])</f>
        <v>32</v>
      </c>
      <c r="G228" s="81" t="str" cm="1">
        <f t="array" ref="G228">TerminArtDisplay(tblTermine[[#This Row],[Terminart]], tblTermine[[#This Row],[Agent]])</f>
        <v>Feiertag</v>
      </c>
      <c r="H228" s="81" t="str" cm="1">
        <f t="array" ref="H228">MakeSearchTerm(tblTermine[[#This Row],[Mitarbeiter]], tblTermine[[#This Row],[Datum]])</f>
        <v>Weber, Joelle - 26-05-25</v>
      </c>
      <c r="I228" s="81">
        <f>YEAR(tblTermine[[#This Row],[Datum]])</f>
        <v>2026</v>
      </c>
    </row>
    <row r="229" spans="2:9" x14ac:dyDescent="0.25">
      <c r="B229" s="60">
        <v>46524</v>
      </c>
      <c r="C229" s="61" t="s">
        <v>6</v>
      </c>
      <c r="D229" s="61" t="s">
        <v>92</v>
      </c>
      <c r="E229" s="64"/>
      <c r="F229" s="63" cm="1">
        <f t="array" ref="F229">TerminArtId(tblTermine[[#This Row],[Terminart]], tblTermine[[#This Row],[Agent]])</f>
        <v>32</v>
      </c>
      <c r="G229" s="81" t="str" cm="1">
        <f t="array" ref="G229">TerminArtDisplay(tblTermine[[#This Row],[Terminart]], tblTermine[[#This Row],[Agent]])</f>
        <v>Feiertag</v>
      </c>
      <c r="H229" s="81" t="str" cm="1">
        <f t="array" ref="H229">MakeSearchTerm(tblTermine[[#This Row],[Mitarbeiter]], tblTermine[[#This Row],[Datum]])</f>
        <v>Weber, Joelle - 27-05-17</v>
      </c>
      <c r="I229" s="81">
        <f>YEAR(tblTermine[[#This Row],[Datum]])</f>
        <v>2027</v>
      </c>
    </row>
    <row r="230" spans="2:9" x14ac:dyDescent="0.25">
      <c r="B230" s="60">
        <v>46909</v>
      </c>
      <c r="C230" s="61" t="s">
        <v>6</v>
      </c>
      <c r="D230" s="61" t="s">
        <v>92</v>
      </c>
      <c r="E230" s="64"/>
      <c r="F230" s="63" cm="1">
        <f t="array" ref="F230">TerminArtId(tblTermine[[#This Row],[Terminart]], tblTermine[[#This Row],[Agent]])</f>
        <v>32</v>
      </c>
      <c r="G230" s="81" t="str" cm="1">
        <f t="array" ref="G230">TerminArtDisplay(tblTermine[[#This Row],[Terminart]], tblTermine[[#This Row],[Agent]])</f>
        <v>Feiertag</v>
      </c>
      <c r="H230" s="81" t="str" cm="1">
        <f t="array" ref="H230">MakeSearchTerm(tblTermine[[#This Row],[Mitarbeiter]], tblTermine[[#This Row],[Datum]])</f>
        <v>Weber, Joelle - 28-06-05</v>
      </c>
      <c r="I230" s="81">
        <f>YEAR(tblTermine[[#This Row],[Datum]])</f>
        <v>2028</v>
      </c>
    </row>
    <row r="231" spans="2:9" x14ac:dyDescent="0.25">
      <c r="B231" s="60">
        <v>47259</v>
      </c>
      <c r="C231" s="61" t="s">
        <v>6</v>
      </c>
      <c r="D231" s="61" t="s">
        <v>92</v>
      </c>
      <c r="E231" s="64"/>
      <c r="F231" s="63" cm="1">
        <f t="array" ref="F231">TerminArtId(tblTermine[[#This Row],[Terminart]], tblTermine[[#This Row],[Agent]])</f>
        <v>32</v>
      </c>
      <c r="G231" s="81" t="str" cm="1">
        <f t="array" ref="G231">TerminArtDisplay(tblTermine[[#This Row],[Terminart]], tblTermine[[#This Row],[Agent]])</f>
        <v>Feiertag</v>
      </c>
      <c r="H231" s="81" t="str" cm="1">
        <f t="array" ref="H231">MakeSearchTerm(tblTermine[[#This Row],[Mitarbeiter]], tblTermine[[#This Row],[Datum]])</f>
        <v>Weber, Joelle - 29-05-21</v>
      </c>
      <c r="I231" s="81">
        <f>YEAR(tblTermine[[#This Row],[Datum]])</f>
        <v>2029</v>
      </c>
    </row>
    <row r="232" spans="2:9" x14ac:dyDescent="0.25">
      <c r="B232" s="60">
        <v>47644</v>
      </c>
      <c r="C232" s="61" t="s">
        <v>6</v>
      </c>
      <c r="D232" s="61" t="s">
        <v>92</v>
      </c>
      <c r="E232" s="64"/>
      <c r="F232" s="63" cm="1">
        <f t="array" ref="F232">TerminArtId(tblTermine[[#This Row],[Terminart]], tblTermine[[#This Row],[Agent]])</f>
        <v>32</v>
      </c>
      <c r="G232" s="81" t="str" cm="1">
        <f t="array" ref="G232">TerminArtDisplay(tblTermine[[#This Row],[Terminart]], tblTermine[[#This Row],[Agent]])</f>
        <v>Feiertag</v>
      </c>
      <c r="H232" s="81" t="str" cm="1">
        <f t="array" ref="H232">MakeSearchTerm(tblTermine[[#This Row],[Mitarbeiter]], tblTermine[[#This Row],[Datum]])</f>
        <v>Weber, Joelle - 30-06-10</v>
      </c>
      <c r="I232" s="81">
        <f>YEAR(tblTermine[[#This Row],[Datum]])</f>
        <v>2030</v>
      </c>
    </row>
    <row r="233" spans="2:9" x14ac:dyDescent="0.25">
      <c r="B233" s="60">
        <v>48001</v>
      </c>
      <c r="C233" s="61" t="s">
        <v>6</v>
      </c>
      <c r="D233" s="61" t="s">
        <v>92</v>
      </c>
      <c r="E233" s="64"/>
      <c r="F233" s="63" cm="1">
        <f t="array" ref="F233">TerminArtId(tblTermine[[#This Row],[Terminart]], tblTermine[[#This Row],[Agent]])</f>
        <v>32</v>
      </c>
      <c r="G233" s="81" t="str" cm="1">
        <f t="array" ref="G233">TerminArtDisplay(tblTermine[[#This Row],[Terminart]], tblTermine[[#This Row],[Agent]])</f>
        <v>Feiertag</v>
      </c>
      <c r="H233" s="81" t="str" cm="1">
        <f t="array" ref="H233">MakeSearchTerm(tblTermine[[#This Row],[Mitarbeiter]], tblTermine[[#This Row],[Datum]])</f>
        <v>Weber, Joelle - 31-06-02</v>
      </c>
      <c r="I233" s="81">
        <f>YEAR(tblTermine[[#This Row],[Datum]])</f>
        <v>2031</v>
      </c>
    </row>
    <row r="234" spans="2:9" x14ac:dyDescent="0.25">
      <c r="B234" s="60">
        <v>48351</v>
      </c>
      <c r="C234" s="61" t="s">
        <v>6</v>
      </c>
      <c r="D234" s="61" t="s">
        <v>92</v>
      </c>
      <c r="E234" s="64"/>
      <c r="F234" s="63" cm="1">
        <f t="array" ref="F234">TerminArtId(tblTermine[[#This Row],[Terminart]], tblTermine[[#This Row],[Agent]])</f>
        <v>32</v>
      </c>
      <c r="G234" s="81" t="str" cm="1">
        <f t="array" ref="G234">TerminArtDisplay(tblTermine[[#This Row],[Terminart]], tblTermine[[#This Row],[Agent]])</f>
        <v>Feiertag</v>
      </c>
      <c r="H234" s="81" t="str" cm="1">
        <f t="array" ref="H234">MakeSearchTerm(tblTermine[[#This Row],[Mitarbeiter]], tblTermine[[#This Row],[Datum]])</f>
        <v>Weber, Joelle - 32-05-17</v>
      </c>
      <c r="I234" s="81">
        <f>YEAR(tblTermine[[#This Row],[Datum]])</f>
        <v>2032</v>
      </c>
    </row>
    <row r="235" spans="2:9" x14ac:dyDescent="0.25">
      <c r="B235" s="60">
        <v>45827</v>
      </c>
      <c r="C235" s="61" t="s">
        <v>3</v>
      </c>
      <c r="D235" s="61" t="s">
        <v>92</v>
      </c>
      <c r="E235" s="64"/>
      <c r="F235" s="63" cm="1">
        <f t="array" ref="F235">TerminArtId(tblTermine[[#This Row],[Terminart]], tblTermine[[#This Row],[Agent]])</f>
        <v>32</v>
      </c>
      <c r="G235" s="81" t="str" cm="1">
        <f t="array" ref="G235">TerminArtDisplay(tblTermine[[#This Row],[Terminart]], tblTermine[[#This Row],[Agent]])</f>
        <v>Feiertag</v>
      </c>
      <c r="H235" s="81" t="str" cm="1">
        <f t="array" ref="H235">MakeSearchTerm(tblTermine[[#This Row],[Mitarbeiter]], tblTermine[[#This Row],[Datum]])</f>
        <v>Plottek, André - 25-06-19</v>
      </c>
      <c r="I235" s="81">
        <f>YEAR(tblTermine[[#This Row],[Datum]])</f>
        <v>2025</v>
      </c>
    </row>
    <row r="236" spans="2:9" x14ac:dyDescent="0.25">
      <c r="B236" s="60">
        <v>46177</v>
      </c>
      <c r="C236" s="61" t="s">
        <v>3</v>
      </c>
      <c r="D236" s="61" t="s">
        <v>92</v>
      </c>
      <c r="E236" s="64"/>
      <c r="F236" s="63" cm="1">
        <f t="array" ref="F236">TerminArtId(tblTermine[[#This Row],[Terminart]], tblTermine[[#This Row],[Agent]])</f>
        <v>32</v>
      </c>
      <c r="G236" s="81" t="str" cm="1">
        <f t="array" ref="G236">TerminArtDisplay(tblTermine[[#This Row],[Terminart]], tblTermine[[#This Row],[Agent]])</f>
        <v>Feiertag</v>
      </c>
      <c r="H236" s="81" t="str" cm="1">
        <f t="array" ref="H236">MakeSearchTerm(tblTermine[[#This Row],[Mitarbeiter]], tblTermine[[#This Row],[Datum]])</f>
        <v>Plottek, André - 26-06-04</v>
      </c>
      <c r="I236" s="81">
        <f>YEAR(tblTermine[[#This Row],[Datum]])</f>
        <v>2026</v>
      </c>
    </row>
    <row r="237" spans="2:9" x14ac:dyDescent="0.25">
      <c r="B237" s="60">
        <v>46534</v>
      </c>
      <c r="C237" s="61" t="s">
        <v>3</v>
      </c>
      <c r="D237" s="61" t="s">
        <v>92</v>
      </c>
      <c r="E237" s="64"/>
      <c r="F237" s="63" cm="1">
        <f t="array" ref="F237">TerminArtId(tblTermine[[#This Row],[Terminart]], tblTermine[[#This Row],[Agent]])</f>
        <v>32</v>
      </c>
      <c r="G237" s="81" t="str" cm="1">
        <f t="array" ref="G237">TerminArtDisplay(tblTermine[[#This Row],[Terminart]], tblTermine[[#This Row],[Agent]])</f>
        <v>Feiertag</v>
      </c>
      <c r="H237" s="81" t="str" cm="1">
        <f t="array" ref="H237">MakeSearchTerm(tblTermine[[#This Row],[Mitarbeiter]], tblTermine[[#This Row],[Datum]])</f>
        <v>Plottek, André - 27-05-27</v>
      </c>
      <c r="I237" s="81">
        <f>YEAR(tblTermine[[#This Row],[Datum]])</f>
        <v>2027</v>
      </c>
    </row>
    <row r="238" spans="2:9" x14ac:dyDescent="0.25">
      <c r="B238" s="60">
        <v>46919</v>
      </c>
      <c r="C238" s="61" t="s">
        <v>3</v>
      </c>
      <c r="D238" s="61" t="s">
        <v>92</v>
      </c>
      <c r="E238" s="64"/>
      <c r="F238" s="63" cm="1">
        <f t="array" ref="F238">TerminArtId(tblTermine[[#This Row],[Terminart]], tblTermine[[#This Row],[Agent]])</f>
        <v>32</v>
      </c>
      <c r="G238" s="81" t="str" cm="1">
        <f t="array" ref="G238">TerminArtDisplay(tblTermine[[#This Row],[Terminart]], tblTermine[[#This Row],[Agent]])</f>
        <v>Feiertag</v>
      </c>
      <c r="H238" s="81" t="str" cm="1">
        <f t="array" ref="H238">MakeSearchTerm(tblTermine[[#This Row],[Mitarbeiter]], tblTermine[[#This Row],[Datum]])</f>
        <v>Plottek, André - 28-06-15</v>
      </c>
      <c r="I238" s="81">
        <f>YEAR(tblTermine[[#This Row],[Datum]])</f>
        <v>2028</v>
      </c>
    </row>
    <row r="239" spans="2:9" x14ac:dyDescent="0.25">
      <c r="B239" s="60">
        <v>47269</v>
      </c>
      <c r="C239" s="61" t="s">
        <v>3</v>
      </c>
      <c r="D239" s="61" t="s">
        <v>92</v>
      </c>
      <c r="E239" s="64"/>
      <c r="F239" s="63" cm="1">
        <f t="array" ref="F239">TerminArtId(tblTermine[[#This Row],[Terminart]], tblTermine[[#This Row],[Agent]])</f>
        <v>32</v>
      </c>
      <c r="G239" s="81" t="str" cm="1">
        <f t="array" ref="G239">TerminArtDisplay(tblTermine[[#This Row],[Terminart]], tblTermine[[#This Row],[Agent]])</f>
        <v>Feiertag</v>
      </c>
      <c r="H239" s="81" t="str" cm="1">
        <f t="array" ref="H239">MakeSearchTerm(tblTermine[[#This Row],[Mitarbeiter]], tblTermine[[#This Row],[Datum]])</f>
        <v>Plottek, André - 29-05-31</v>
      </c>
      <c r="I239" s="81">
        <f>YEAR(tblTermine[[#This Row],[Datum]])</f>
        <v>2029</v>
      </c>
    </row>
    <row r="240" spans="2:9" x14ac:dyDescent="0.25">
      <c r="B240" s="60">
        <v>47654</v>
      </c>
      <c r="C240" s="61" t="s">
        <v>3</v>
      </c>
      <c r="D240" s="61" t="s">
        <v>92</v>
      </c>
      <c r="E240" s="64"/>
      <c r="F240" s="63" cm="1">
        <f t="array" ref="F240">TerminArtId(tblTermine[[#This Row],[Terminart]], tblTermine[[#This Row],[Agent]])</f>
        <v>32</v>
      </c>
      <c r="G240" s="81" t="str" cm="1">
        <f t="array" ref="G240">TerminArtDisplay(tblTermine[[#This Row],[Terminart]], tblTermine[[#This Row],[Agent]])</f>
        <v>Feiertag</v>
      </c>
      <c r="H240" s="81" t="str" cm="1">
        <f t="array" ref="H240">MakeSearchTerm(tblTermine[[#This Row],[Mitarbeiter]], tblTermine[[#This Row],[Datum]])</f>
        <v>Plottek, André - 30-06-20</v>
      </c>
      <c r="I240" s="81">
        <f>YEAR(tblTermine[[#This Row],[Datum]])</f>
        <v>2030</v>
      </c>
    </row>
    <row r="241" spans="2:9" x14ac:dyDescent="0.25">
      <c r="B241" s="60">
        <v>48011</v>
      </c>
      <c r="C241" s="61" t="s">
        <v>3</v>
      </c>
      <c r="D241" s="61" t="s">
        <v>92</v>
      </c>
      <c r="E241" s="64"/>
      <c r="F241" s="63" cm="1">
        <f t="array" ref="F241">TerminArtId(tblTermine[[#This Row],[Terminart]], tblTermine[[#This Row],[Agent]])</f>
        <v>32</v>
      </c>
      <c r="G241" s="81" t="str" cm="1">
        <f t="array" ref="G241">TerminArtDisplay(tblTermine[[#This Row],[Terminart]], tblTermine[[#This Row],[Agent]])</f>
        <v>Feiertag</v>
      </c>
      <c r="H241" s="81" t="str" cm="1">
        <f t="array" ref="H241">MakeSearchTerm(tblTermine[[#This Row],[Mitarbeiter]], tblTermine[[#This Row],[Datum]])</f>
        <v>Plottek, André - 31-06-12</v>
      </c>
      <c r="I241" s="81">
        <f>YEAR(tblTermine[[#This Row],[Datum]])</f>
        <v>2031</v>
      </c>
    </row>
    <row r="242" spans="2:9" x14ac:dyDescent="0.25">
      <c r="B242" s="60">
        <v>48361</v>
      </c>
      <c r="C242" s="61" t="s">
        <v>3</v>
      </c>
      <c r="D242" s="61" t="s">
        <v>92</v>
      </c>
      <c r="E242" s="64"/>
      <c r="F242" s="63" cm="1">
        <f t="array" ref="F242">TerminArtId(tblTermine[[#This Row],[Terminart]], tblTermine[[#This Row],[Agent]])</f>
        <v>32</v>
      </c>
      <c r="G242" s="81" t="str" cm="1">
        <f t="array" ref="G242">TerminArtDisplay(tblTermine[[#This Row],[Terminart]], tblTermine[[#This Row],[Agent]])</f>
        <v>Feiertag</v>
      </c>
      <c r="H242" s="81" t="str" cm="1">
        <f t="array" ref="H242">MakeSearchTerm(tblTermine[[#This Row],[Mitarbeiter]], tblTermine[[#This Row],[Datum]])</f>
        <v>Plottek, André - 32-05-27</v>
      </c>
      <c r="I242" s="81">
        <f>YEAR(tblTermine[[#This Row],[Datum]])</f>
        <v>2032</v>
      </c>
    </row>
    <row r="243" spans="2:9" x14ac:dyDescent="0.25">
      <c r="B243" s="60">
        <v>45827</v>
      </c>
      <c r="C243" s="61" t="s">
        <v>6</v>
      </c>
      <c r="D243" s="61" t="s">
        <v>92</v>
      </c>
      <c r="E243" s="64"/>
      <c r="F243" s="63" cm="1">
        <f t="array" ref="F243">TerminArtId(tblTermine[[#This Row],[Terminart]], tblTermine[[#This Row],[Agent]])</f>
        <v>32</v>
      </c>
      <c r="G243" s="81" t="str" cm="1">
        <f t="array" ref="G243">TerminArtDisplay(tblTermine[[#This Row],[Terminart]], tblTermine[[#This Row],[Agent]])</f>
        <v>Feiertag</v>
      </c>
      <c r="H243" s="81" t="str" cm="1">
        <f t="array" ref="H243">MakeSearchTerm(tblTermine[[#This Row],[Mitarbeiter]], tblTermine[[#This Row],[Datum]])</f>
        <v>Weber, Joelle - 25-06-19</v>
      </c>
      <c r="I243" s="81">
        <f>YEAR(tblTermine[[#This Row],[Datum]])</f>
        <v>2025</v>
      </c>
    </row>
    <row r="244" spans="2:9" x14ac:dyDescent="0.25">
      <c r="B244" s="60">
        <v>46177</v>
      </c>
      <c r="C244" s="61" t="s">
        <v>6</v>
      </c>
      <c r="D244" s="61" t="s">
        <v>92</v>
      </c>
      <c r="E244" s="64"/>
      <c r="F244" s="63" cm="1">
        <f t="array" ref="F244">TerminArtId(tblTermine[[#This Row],[Terminart]], tblTermine[[#This Row],[Agent]])</f>
        <v>32</v>
      </c>
      <c r="G244" s="81" t="str" cm="1">
        <f t="array" ref="G244">TerminArtDisplay(tblTermine[[#This Row],[Terminart]], tblTermine[[#This Row],[Agent]])</f>
        <v>Feiertag</v>
      </c>
      <c r="H244" s="81" t="str" cm="1">
        <f t="array" ref="H244">MakeSearchTerm(tblTermine[[#This Row],[Mitarbeiter]], tblTermine[[#This Row],[Datum]])</f>
        <v>Weber, Joelle - 26-06-04</v>
      </c>
      <c r="I244" s="81">
        <f>YEAR(tblTermine[[#This Row],[Datum]])</f>
        <v>2026</v>
      </c>
    </row>
    <row r="245" spans="2:9" x14ac:dyDescent="0.25">
      <c r="B245" s="60">
        <v>46534</v>
      </c>
      <c r="C245" s="61" t="s">
        <v>6</v>
      </c>
      <c r="D245" s="61" t="s">
        <v>92</v>
      </c>
      <c r="E245" s="64"/>
      <c r="F245" s="63" cm="1">
        <f t="array" ref="F245">TerminArtId(tblTermine[[#This Row],[Terminart]], tblTermine[[#This Row],[Agent]])</f>
        <v>32</v>
      </c>
      <c r="G245" s="81" t="str" cm="1">
        <f t="array" ref="G245">TerminArtDisplay(tblTermine[[#This Row],[Terminart]], tblTermine[[#This Row],[Agent]])</f>
        <v>Feiertag</v>
      </c>
      <c r="H245" s="81" t="str" cm="1">
        <f t="array" ref="H245">MakeSearchTerm(tblTermine[[#This Row],[Mitarbeiter]], tblTermine[[#This Row],[Datum]])</f>
        <v>Weber, Joelle - 27-05-27</v>
      </c>
      <c r="I245" s="81">
        <f>YEAR(tblTermine[[#This Row],[Datum]])</f>
        <v>2027</v>
      </c>
    </row>
    <row r="246" spans="2:9" x14ac:dyDescent="0.25">
      <c r="B246" s="60">
        <v>46919</v>
      </c>
      <c r="C246" s="61" t="s">
        <v>6</v>
      </c>
      <c r="D246" s="61" t="s">
        <v>92</v>
      </c>
      <c r="E246" s="64"/>
      <c r="F246" s="63" cm="1">
        <f t="array" ref="F246">TerminArtId(tblTermine[[#This Row],[Terminart]], tblTermine[[#This Row],[Agent]])</f>
        <v>32</v>
      </c>
      <c r="G246" s="81" t="str" cm="1">
        <f t="array" ref="G246">TerminArtDisplay(tblTermine[[#This Row],[Terminart]], tblTermine[[#This Row],[Agent]])</f>
        <v>Feiertag</v>
      </c>
      <c r="H246" s="81" t="str" cm="1">
        <f t="array" ref="H246">MakeSearchTerm(tblTermine[[#This Row],[Mitarbeiter]], tblTermine[[#This Row],[Datum]])</f>
        <v>Weber, Joelle - 28-06-15</v>
      </c>
      <c r="I246" s="81">
        <f>YEAR(tblTermine[[#This Row],[Datum]])</f>
        <v>2028</v>
      </c>
    </row>
    <row r="247" spans="2:9" x14ac:dyDescent="0.25">
      <c r="B247" s="60">
        <v>47269</v>
      </c>
      <c r="C247" s="61" t="s">
        <v>6</v>
      </c>
      <c r="D247" s="61" t="s">
        <v>92</v>
      </c>
      <c r="E247" s="64"/>
      <c r="F247" s="63" cm="1">
        <f t="array" ref="F247">TerminArtId(tblTermine[[#This Row],[Terminart]], tblTermine[[#This Row],[Agent]])</f>
        <v>32</v>
      </c>
      <c r="G247" s="81" t="str" cm="1">
        <f t="array" ref="G247">TerminArtDisplay(tblTermine[[#This Row],[Terminart]], tblTermine[[#This Row],[Agent]])</f>
        <v>Feiertag</v>
      </c>
      <c r="H247" s="81" t="str" cm="1">
        <f t="array" ref="H247">MakeSearchTerm(tblTermine[[#This Row],[Mitarbeiter]], tblTermine[[#This Row],[Datum]])</f>
        <v>Weber, Joelle - 29-05-31</v>
      </c>
      <c r="I247" s="81">
        <f>YEAR(tblTermine[[#This Row],[Datum]])</f>
        <v>2029</v>
      </c>
    </row>
    <row r="248" spans="2:9" x14ac:dyDescent="0.25">
      <c r="B248" s="60">
        <v>47654</v>
      </c>
      <c r="C248" s="61" t="s">
        <v>6</v>
      </c>
      <c r="D248" s="61" t="s">
        <v>92</v>
      </c>
      <c r="E248" s="64"/>
      <c r="F248" s="63" cm="1">
        <f t="array" ref="F248">TerminArtId(tblTermine[[#This Row],[Terminart]], tblTermine[[#This Row],[Agent]])</f>
        <v>32</v>
      </c>
      <c r="G248" s="81" t="str" cm="1">
        <f t="array" ref="G248">TerminArtDisplay(tblTermine[[#This Row],[Terminart]], tblTermine[[#This Row],[Agent]])</f>
        <v>Feiertag</v>
      </c>
      <c r="H248" s="81" t="str" cm="1">
        <f t="array" ref="H248">MakeSearchTerm(tblTermine[[#This Row],[Mitarbeiter]], tblTermine[[#This Row],[Datum]])</f>
        <v>Weber, Joelle - 30-06-20</v>
      </c>
      <c r="I248" s="81">
        <f>YEAR(tblTermine[[#This Row],[Datum]])</f>
        <v>2030</v>
      </c>
    </row>
    <row r="249" spans="2:9" x14ac:dyDescent="0.25">
      <c r="B249" s="60">
        <v>48011</v>
      </c>
      <c r="C249" s="61" t="s">
        <v>6</v>
      </c>
      <c r="D249" s="61" t="s">
        <v>92</v>
      </c>
      <c r="E249" s="64"/>
      <c r="F249" s="63" cm="1">
        <f t="array" ref="F249">TerminArtId(tblTermine[[#This Row],[Terminart]], tblTermine[[#This Row],[Agent]])</f>
        <v>32</v>
      </c>
      <c r="G249" s="81" t="str" cm="1">
        <f t="array" ref="G249">TerminArtDisplay(tblTermine[[#This Row],[Terminart]], tblTermine[[#This Row],[Agent]])</f>
        <v>Feiertag</v>
      </c>
      <c r="H249" s="81" t="str" cm="1">
        <f t="array" ref="H249">MakeSearchTerm(tblTermine[[#This Row],[Mitarbeiter]], tblTermine[[#This Row],[Datum]])</f>
        <v>Weber, Joelle - 31-06-12</v>
      </c>
      <c r="I249" s="81">
        <f>YEAR(tblTermine[[#This Row],[Datum]])</f>
        <v>2031</v>
      </c>
    </row>
    <row r="250" spans="2:9" x14ac:dyDescent="0.25">
      <c r="B250" s="60">
        <v>48361</v>
      </c>
      <c r="C250" s="61" t="s">
        <v>6</v>
      </c>
      <c r="D250" s="61" t="s">
        <v>92</v>
      </c>
      <c r="E250" s="64"/>
      <c r="F250" s="63" cm="1">
        <f t="array" ref="F250">TerminArtId(tblTermine[[#This Row],[Terminart]], tblTermine[[#This Row],[Agent]])</f>
        <v>32</v>
      </c>
      <c r="G250" s="81" t="str" cm="1">
        <f t="array" ref="G250">TerminArtDisplay(tblTermine[[#This Row],[Terminart]], tblTermine[[#This Row],[Agent]])</f>
        <v>Feiertag</v>
      </c>
      <c r="H250" s="81" t="str" cm="1">
        <f t="array" ref="H250">MakeSearchTerm(tblTermine[[#This Row],[Mitarbeiter]], tblTermine[[#This Row],[Datum]])</f>
        <v>Weber, Joelle - 32-05-27</v>
      </c>
      <c r="I250" s="81">
        <f>YEAR(tblTermine[[#This Row],[Datum]])</f>
        <v>2032</v>
      </c>
    </row>
    <row r="251" spans="2:9" x14ac:dyDescent="0.25">
      <c r="B251" s="60">
        <v>45933</v>
      </c>
      <c r="C251" s="61" t="s">
        <v>1</v>
      </c>
      <c r="D251" s="61" t="s">
        <v>92</v>
      </c>
      <c r="E251" s="64"/>
      <c r="F251" s="63" cm="1">
        <f t="array" ref="F251">TerminArtId(tblTermine[[#This Row],[Terminart]], tblTermine[[#This Row],[Agent]])</f>
        <v>32</v>
      </c>
      <c r="G251" s="81" t="str" cm="1">
        <f t="array" ref="G251">TerminArtDisplay(tblTermine[[#This Row],[Terminart]], tblTermine[[#This Row],[Agent]])</f>
        <v>Feiertag</v>
      </c>
      <c r="H251" s="81" t="str" cm="1">
        <f t="array" ref="H251">MakeSearchTerm(tblTermine[[#This Row],[Mitarbeiter]], tblTermine[[#This Row],[Datum]])</f>
        <v>Lehrmann, Marcel - 25-10-03</v>
      </c>
      <c r="I251" s="81">
        <f>YEAR(tblTermine[[#This Row],[Datum]])</f>
        <v>2025</v>
      </c>
    </row>
    <row r="252" spans="2:9" x14ac:dyDescent="0.25">
      <c r="B252" s="60">
        <v>47029</v>
      </c>
      <c r="C252" s="61" t="s">
        <v>1</v>
      </c>
      <c r="D252" s="61" t="s">
        <v>92</v>
      </c>
      <c r="E252" s="64"/>
      <c r="F252" s="63" cm="1">
        <f t="array" ref="F252">TerminArtId(tblTermine[[#This Row],[Terminart]], tblTermine[[#This Row],[Agent]])</f>
        <v>32</v>
      </c>
      <c r="G252" s="81" t="str" cm="1">
        <f t="array" ref="G252">TerminArtDisplay(tblTermine[[#This Row],[Terminart]], tblTermine[[#This Row],[Agent]])</f>
        <v>Feiertag</v>
      </c>
      <c r="H252" s="81" t="str" cm="1">
        <f t="array" ref="H252">MakeSearchTerm(tblTermine[[#This Row],[Mitarbeiter]], tblTermine[[#This Row],[Datum]])</f>
        <v>Lehrmann, Marcel - 28-10-03</v>
      </c>
      <c r="I252" s="81">
        <f>YEAR(tblTermine[[#This Row],[Datum]])</f>
        <v>2028</v>
      </c>
    </row>
    <row r="253" spans="2:9" x14ac:dyDescent="0.25">
      <c r="B253" s="60">
        <v>47394</v>
      </c>
      <c r="C253" s="61" t="s">
        <v>1</v>
      </c>
      <c r="D253" s="61" t="s">
        <v>92</v>
      </c>
      <c r="E253" s="64"/>
      <c r="F253" s="63" cm="1">
        <f t="array" ref="F253">TerminArtId(tblTermine[[#This Row],[Terminart]], tblTermine[[#This Row],[Agent]])</f>
        <v>32</v>
      </c>
      <c r="G253" s="81" t="str" cm="1">
        <f t="array" ref="G253">TerminArtDisplay(tblTermine[[#This Row],[Terminart]], tblTermine[[#This Row],[Agent]])</f>
        <v>Feiertag</v>
      </c>
      <c r="H253" s="81" t="str" cm="1">
        <f t="array" ref="H253">MakeSearchTerm(tblTermine[[#This Row],[Mitarbeiter]], tblTermine[[#This Row],[Datum]])</f>
        <v>Lehrmann, Marcel - 29-10-03</v>
      </c>
      <c r="I253" s="81">
        <f>YEAR(tblTermine[[#This Row],[Datum]])</f>
        <v>2029</v>
      </c>
    </row>
    <row r="254" spans="2:9" x14ac:dyDescent="0.25">
      <c r="B254" s="60">
        <v>47759</v>
      </c>
      <c r="C254" s="61" t="s">
        <v>1</v>
      </c>
      <c r="D254" s="61" t="s">
        <v>92</v>
      </c>
      <c r="E254" s="64"/>
      <c r="F254" s="63" cm="1">
        <f t="array" ref="F254">TerminArtId(tblTermine[[#This Row],[Terminart]], tblTermine[[#This Row],[Agent]])</f>
        <v>32</v>
      </c>
      <c r="G254" s="81" t="str" cm="1">
        <f t="array" ref="G254">TerminArtDisplay(tblTermine[[#This Row],[Terminart]], tblTermine[[#This Row],[Agent]])</f>
        <v>Feiertag</v>
      </c>
      <c r="H254" s="81" t="str" cm="1">
        <f t="array" ref="H254">MakeSearchTerm(tblTermine[[#This Row],[Mitarbeiter]], tblTermine[[#This Row],[Datum]])</f>
        <v>Lehrmann, Marcel - 30-10-03</v>
      </c>
      <c r="I254" s="81">
        <f>YEAR(tblTermine[[#This Row],[Datum]])</f>
        <v>2030</v>
      </c>
    </row>
    <row r="255" spans="2:9" x14ac:dyDescent="0.25">
      <c r="B255" s="60">
        <v>48124</v>
      </c>
      <c r="C255" s="61" t="s">
        <v>1</v>
      </c>
      <c r="D255" s="61" t="s">
        <v>92</v>
      </c>
      <c r="E255" s="64"/>
      <c r="F255" s="63" cm="1">
        <f t="array" ref="F255">TerminArtId(tblTermine[[#This Row],[Terminart]], tblTermine[[#This Row],[Agent]])</f>
        <v>32</v>
      </c>
      <c r="G255" s="81" t="str" cm="1">
        <f t="array" ref="G255">TerminArtDisplay(tblTermine[[#This Row],[Terminart]], tblTermine[[#This Row],[Agent]])</f>
        <v>Feiertag</v>
      </c>
      <c r="H255" s="81" t="str" cm="1">
        <f t="array" ref="H255">MakeSearchTerm(tblTermine[[#This Row],[Mitarbeiter]], tblTermine[[#This Row],[Datum]])</f>
        <v>Lehrmann, Marcel - 31-10-03</v>
      </c>
      <c r="I255" s="81">
        <f>YEAR(tblTermine[[#This Row],[Datum]])</f>
        <v>2031</v>
      </c>
    </row>
    <row r="256" spans="2:9" x14ac:dyDescent="0.25">
      <c r="B256" s="60">
        <v>45933</v>
      </c>
      <c r="C256" s="61" t="s">
        <v>3</v>
      </c>
      <c r="D256" s="61" t="s">
        <v>92</v>
      </c>
      <c r="E256" s="64"/>
      <c r="F256" s="63" cm="1">
        <f t="array" ref="F256">TerminArtId(tblTermine[[#This Row],[Terminart]], tblTermine[[#This Row],[Agent]])</f>
        <v>32</v>
      </c>
      <c r="G256" s="81" t="str" cm="1">
        <f t="array" ref="G256">TerminArtDisplay(tblTermine[[#This Row],[Terminart]], tblTermine[[#This Row],[Agent]])</f>
        <v>Feiertag</v>
      </c>
      <c r="H256" s="81" t="str" cm="1">
        <f t="array" ref="H256">MakeSearchTerm(tblTermine[[#This Row],[Mitarbeiter]], tblTermine[[#This Row],[Datum]])</f>
        <v>Plottek, André - 25-10-03</v>
      </c>
      <c r="I256" s="81">
        <f>YEAR(tblTermine[[#This Row],[Datum]])</f>
        <v>2025</v>
      </c>
    </row>
    <row r="257" spans="2:9" x14ac:dyDescent="0.25">
      <c r="B257" s="60">
        <v>47029</v>
      </c>
      <c r="C257" s="61" t="s">
        <v>3</v>
      </c>
      <c r="D257" s="61" t="s">
        <v>92</v>
      </c>
      <c r="E257" s="64"/>
      <c r="F257" s="63" cm="1">
        <f t="array" ref="F257">TerminArtId(tblTermine[[#This Row],[Terminart]], tblTermine[[#This Row],[Agent]])</f>
        <v>32</v>
      </c>
      <c r="G257" s="81" t="str" cm="1">
        <f t="array" ref="G257">TerminArtDisplay(tblTermine[[#This Row],[Terminart]], tblTermine[[#This Row],[Agent]])</f>
        <v>Feiertag</v>
      </c>
      <c r="H257" s="81" t="str" cm="1">
        <f t="array" ref="H257">MakeSearchTerm(tblTermine[[#This Row],[Mitarbeiter]], tblTermine[[#This Row],[Datum]])</f>
        <v>Plottek, André - 28-10-03</v>
      </c>
      <c r="I257" s="81">
        <f>YEAR(tblTermine[[#This Row],[Datum]])</f>
        <v>2028</v>
      </c>
    </row>
    <row r="258" spans="2:9" x14ac:dyDescent="0.25">
      <c r="B258" s="60">
        <v>47394</v>
      </c>
      <c r="C258" s="61" t="s">
        <v>3</v>
      </c>
      <c r="D258" s="61" t="s">
        <v>92</v>
      </c>
      <c r="E258" s="64"/>
      <c r="F258" s="63" cm="1">
        <f t="array" ref="F258">TerminArtId(tblTermine[[#This Row],[Terminart]], tblTermine[[#This Row],[Agent]])</f>
        <v>32</v>
      </c>
      <c r="G258" s="81" t="str" cm="1">
        <f t="array" ref="G258">TerminArtDisplay(tblTermine[[#This Row],[Terminart]], tblTermine[[#This Row],[Agent]])</f>
        <v>Feiertag</v>
      </c>
      <c r="H258" s="81" t="str" cm="1">
        <f t="array" ref="H258">MakeSearchTerm(tblTermine[[#This Row],[Mitarbeiter]], tblTermine[[#This Row],[Datum]])</f>
        <v>Plottek, André - 29-10-03</v>
      </c>
      <c r="I258" s="81">
        <f>YEAR(tblTermine[[#This Row],[Datum]])</f>
        <v>2029</v>
      </c>
    </row>
    <row r="259" spans="2:9" x14ac:dyDescent="0.25">
      <c r="B259" s="60">
        <v>47759</v>
      </c>
      <c r="C259" s="61" t="s">
        <v>3</v>
      </c>
      <c r="D259" s="61" t="s">
        <v>92</v>
      </c>
      <c r="E259" s="64"/>
      <c r="F259" s="63" cm="1">
        <f t="array" ref="F259">TerminArtId(tblTermine[[#This Row],[Terminart]], tblTermine[[#This Row],[Agent]])</f>
        <v>32</v>
      </c>
      <c r="G259" s="81" t="str" cm="1">
        <f t="array" ref="G259">TerminArtDisplay(tblTermine[[#This Row],[Terminart]], tblTermine[[#This Row],[Agent]])</f>
        <v>Feiertag</v>
      </c>
      <c r="H259" s="81" t="str" cm="1">
        <f t="array" ref="H259">MakeSearchTerm(tblTermine[[#This Row],[Mitarbeiter]], tblTermine[[#This Row],[Datum]])</f>
        <v>Plottek, André - 30-10-03</v>
      </c>
      <c r="I259" s="81">
        <f>YEAR(tblTermine[[#This Row],[Datum]])</f>
        <v>2030</v>
      </c>
    </row>
    <row r="260" spans="2:9" x14ac:dyDescent="0.25">
      <c r="B260" s="60">
        <v>48124</v>
      </c>
      <c r="C260" s="61" t="s">
        <v>3</v>
      </c>
      <c r="D260" s="61" t="s">
        <v>92</v>
      </c>
      <c r="E260" s="64"/>
      <c r="F260" s="63" cm="1">
        <f t="array" ref="F260">TerminArtId(tblTermine[[#This Row],[Terminart]], tblTermine[[#This Row],[Agent]])</f>
        <v>32</v>
      </c>
      <c r="G260" s="81" t="str" cm="1">
        <f t="array" ref="G260">TerminArtDisplay(tblTermine[[#This Row],[Terminart]], tblTermine[[#This Row],[Agent]])</f>
        <v>Feiertag</v>
      </c>
      <c r="H260" s="81" t="str" cm="1">
        <f t="array" ref="H260">MakeSearchTerm(tblTermine[[#This Row],[Mitarbeiter]], tblTermine[[#This Row],[Datum]])</f>
        <v>Plottek, André - 31-10-03</v>
      </c>
      <c r="I260" s="81">
        <f>YEAR(tblTermine[[#This Row],[Datum]])</f>
        <v>2031</v>
      </c>
    </row>
    <row r="261" spans="2:9" x14ac:dyDescent="0.25">
      <c r="B261" s="60">
        <v>45933</v>
      </c>
      <c r="C261" s="61" t="s">
        <v>4</v>
      </c>
      <c r="D261" s="61" t="s">
        <v>92</v>
      </c>
      <c r="E261" s="64"/>
      <c r="F261" s="63" cm="1">
        <f t="array" ref="F261">TerminArtId(tblTermine[[#This Row],[Terminart]], tblTermine[[#This Row],[Agent]])</f>
        <v>32</v>
      </c>
      <c r="G261" s="81" t="str" cm="1">
        <f t="array" ref="G261">TerminArtDisplay(tblTermine[[#This Row],[Terminart]], tblTermine[[#This Row],[Agent]])</f>
        <v>Feiertag</v>
      </c>
      <c r="H261" s="81" t="str" cm="1">
        <f t="array" ref="H261">MakeSearchTerm(tblTermine[[#This Row],[Mitarbeiter]], tblTermine[[#This Row],[Datum]])</f>
        <v>Schweitzer, Sven - 25-10-03</v>
      </c>
      <c r="I261" s="81">
        <f>YEAR(tblTermine[[#This Row],[Datum]])</f>
        <v>2025</v>
      </c>
    </row>
    <row r="262" spans="2:9" x14ac:dyDescent="0.25">
      <c r="B262" s="60">
        <v>47029</v>
      </c>
      <c r="C262" s="61" t="s">
        <v>4</v>
      </c>
      <c r="D262" s="61" t="s">
        <v>92</v>
      </c>
      <c r="E262" s="64"/>
      <c r="F262" s="63" cm="1">
        <f t="array" ref="F262">TerminArtId(tblTermine[[#This Row],[Terminart]], tblTermine[[#This Row],[Agent]])</f>
        <v>32</v>
      </c>
      <c r="G262" s="81" t="str" cm="1">
        <f t="array" ref="G262">TerminArtDisplay(tblTermine[[#This Row],[Terminart]], tblTermine[[#This Row],[Agent]])</f>
        <v>Feiertag</v>
      </c>
      <c r="H262" s="81" t="str" cm="1">
        <f t="array" ref="H262">MakeSearchTerm(tblTermine[[#This Row],[Mitarbeiter]], tblTermine[[#This Row],[Datum]])</f>
        <v>Schweitzer, Sven - 28-10-03</v>
      </c>
      <c r="I262" s="81">
        <f>YEAR(tblTermine[[#This Row],[Datum]])</f>
        <v>2028</v>
      </c>
    </row>
    <row r="263" spans="2:9" x14ac:dyDescent="0.25">
      <c r="B263" s="60">
        <v>47394</v>
      </c>
      <c r="C263" s="61" t="s">
        <v>4</v>
      </c>
      <c r="D263" s="61" t="s">
        <v>92</v>
      </c>
      <c r="E263" s="64"/>
      <c r="F263" s="63" cm="1">
        <f t="array" ref="F263">TerminArtId(tblTermine[[#This Row],[Terminart]], tblTermine[[#This Row],[Agent]])</f>
        <v>32</v>
      </c>
      <c r="G263" s="81" t="str" cm="1">
        <f t="array" ref="G263">TerminArtDisplay(tblTermine[[#This Row],[Terminart]], tblTermine[[#This Row],[Agent]])</f>
        <v>Feiertag</v>
      </c>
      <c r="H263" s="81" t="str" cm="1">
        <f t="array" ref="H263">MakeSearchTerm(tblTermine[[#This Row],[Mitarbeiter]], tblTermine[[#This Row],[Datum]])</f>
        <v>Schweitzer, Sven - 29-10-03</v>
      </c>
      <c r="I263" s="81">
        <f>YEAR(tblTermine[[#This Row],[Datum]])</f>
        <v>2029</v>
      </c>
    </row>
    <row r="264" spans="2:9" x14ac:dyDescent="0.25">
      <c r="B264" s="60">
        <v>47759</v>
      </c>
      <c r="C264" s="61" t="s">
        <v>4</v>
      </c>
      <c r="D264" s="61" t="s">
        <v>92</v>
      </c>
      <c r="E264" s="64"/>
      <c r="F264" s="63" cm="1">
        <f t="array" ref="F264">TerminArtId(tblTermine[[#This Row],[Terminart]], tblTermine[[#This Row],[Agent]])</f>
        <v>32</v>
      </c>
      <c r="G264" s="81" t="str" cm="1">
        <f t="array" ref="G264">TerminArtDisplay(tblTermine[[#This Row],[Terminart]], tblTermine[[#This Row],[Agent]])</f>
        <v>Feiertag</v>
      </c>
      <c r="H264" s="81" t="str" cm="1">
        <f t="array" ref="H264">MakeSearchTerm(tblTermine[[#This Row],[Mitarbeiter]], tblTermine[[#This Row],[Datum]])</f>
        <v>Schweitzer, Sven - 30-10-03</v>
      </c>
      <c r="I264" s="81">
        <f>YEAR(tblTermine[[#This Row],[Datum]])</f>
        <v>2030</v>
      </c>
    </row>
    <row r="265" spans="2:9" x14ac:dyDescent="0.25">
      <c r="B265" s="60">
        <v>48124</v>
      </c>
      <c r="C265" s="61" t="s">
        <v>4</v>
      </c>
      <c r="D265" s="61" t="s">
        <v>92</v>
      </c>
      <c r="E265" s="64"/>
      <c r="F265" s="63" cm="1">
        <f t="array" ref="F265">TerminArtId(tblTermine[[#This Row],[Terminart]], tblTermine[[#This Row],[Agent]])</f>
        <v>32</v>
      </c>
      <c r="G265" s="81" t="str" cm="1">
        <f t="array" ref="G265">TerminArtDisplay(tblTermine[[#This Row],[Terminart]], tblTermine[[#This Row],[Agent]])</f>
        <v>Feiertag</v>
      </c>
      <c r="H265" s="81" t="str" cm="1">
        <f t="array" ref="H265">MakeSearchTerm(tblTermine[[#This Row],[Mitarbeiter]], tblTermine[[#This Row],[Datum]])</f>
        <v>Schweitzer, Sven - 31-10-03</v>
      </c>
      <c r="I265" s="81">
        <f>YEAR(tblTermine[[#This Row],[Datum]])</f>
        <v>2031</v>
      </c>
    </row>
    <row r="266" spans="2:9" x14ac:dyDescent="0.25">
      <c r="B266" s="60">
        <v>45933</v>
      </c>
      <c r="C266" s="61" t="s">
        <v>6</v>
      </c>
      <c r="D266" s="61" t="s">
        <v>92</v>
      </c>
      <c r="E266" s="64"/>
      <c r="F266" s="63" cm="1">
        <f t="array" ref="F266">TerminArtId(tblTermine[[#This Row],[Terminart]], tblTermine[[#This Row],[Agent]])</f>
        <v>32</v>
      </c>
      <c r="G266" s="81" t="str" cm="1">
        <f t="array" ref="G266">TerminArtDisplay(tblTermine[[#This Row],[Terminart]], tblTermine[[#This Row],[Agent]])</f>
        <v>Feiertag</v>
      </c>
      <c r="H266" s="81" t="str" cm="1">
        <f t="array" ref="H266">MakeSearchTerm(tblTermine[[#This Row],[Mitarbeiter]], tblTermine[[#This Row],[Datum]])</f>
        <v>Weber, Joelle - 25-10-03</v>
      </c>
      <c r="I266" s="81">
        <f>YEAR(tblTermine[[#This Row],[Datum]])</f>
        <v>2025</v>
      </c>
    </row>
    <row r="267" spans="2:9" x14ac:dyDescent="0.25">
      <c r="B267" s="60">
        <v>47029</v>
      </c>
      <c r="C267" s="61" t="s">
        <v>6</v>
      </c>
      <c r="D267" s="61" t="s">
        <v>92</v>
      </c>
      <c r="E267" s="64"/>
      <c r="F267" s="63" cm="1">
        <f t="array" ref="F267">TerminArtId(tblTermine[[#This Row],[Terminart]], tblTermine[[#This Row],[Agent]])</f>
        <v>32</v>
      </c>
      <c r="G267" s="81" t="str" cm="1">
        <f t="array" ref="G267">TerminArtDisplay(tblTermine[[#This Row],[Terminart]], tblTermine[[#This Row],[Agent]])</f>
        <v>Feiertag</v>
      </c>
      <c r="H267" s="81" t="str" cm="1">
        <f t="array" ref="H267">MakeSearchTerm(tblTermine[[#This Row],[Mitarbeiter]], tblTermine[[#This Row],[Datum]])</f>
        <v>Weber, Joelle - 28-10-03</v>
      </c>
      <c r="I267" s="81">
        <f>YEAR(tblTermine[[#This Row],[Datum]])</f>
        <v>2028</v>
      </c>
    </row>
    <row r="268" spans="2:9" x14ac:dyDescent="0.25">
      <c r="B268" s="60">
        <v>47394</v>
      </c>
      <c r="C268" s="61" t="s">
        <v>6</v>
      </c>
      <c r="D268" s="61" t="s">
        <v>92</v>
      </c>
      <c r="E268" s="64"/>
      <c r="F268" s="63" cm="1">
        <f t="array" ref="F268">TerminArtId(tblTermine[[#This Row],[Terminart]], tblTermine[[#This Row],[Agent]])</f>
        <v>32</v>
      </c>
      <c r="G268" s="81" t="str" cm="1">
        <f t="array" ref="G268">TerminArtDisplay(tblTermine[[#This Row],[Terminart]], tblTermine[[#This Row],[Agent]])</f>
        <v>Feiertag</v>
      </c>
      <c r="H268" s="81" t="str" cm="1">
        <f t="array" ref="H268">MakeSearchTerm(tblTermine[[#This Row],[Mitarbeiter]], tblTermine[[#This Row],[Datum]])</f>
        <v>Weber, Joelle - 29-10-03</v>
      </c>
      <c r="I268" s="81">
        <f>YEAR(tblTermine[[#This Row],[Datum]])</f>
        <v>2029</v>
      </c>
    </row>
    <row r="269" spans="2:9" x14ac:dyDescent="0.25">
      <c r="B269" s="60">
        <v>47759</v>
      </c>
      <c r="C269" s="61" t="s">
        <v>6</v>
      </c>
      <c r="D269" s="61" t="s">
        <v>92</v>
      </c>
      <c r="E269" s="64"/>
      <c r="F269" s="63" cm="1">
        <f t="array" ref="F269">TerminArtId(tblTermine[[#This Row],[Terminart]], tblTermine[[#This Row],[Agent]])</f>
        <v>32</v>
      </c>
      <c r="G269" s="81" t="str" cm="1">
        <f t="array" ref="G269">TerminArtDisplay(tblTermine[[#This Row],[Terminart]], tblTermine[[#This Row],[Agent]])</f>
        <v>Feiertag</v>
      </c>
      <c r="H269" s="81" t="str" cm="1">
        <f t="array" ref="H269">MakeSearchTerm(tblTermine[[#This Row],[Mitarbeiter]], tblTermine[[#This Row],[Datum]])</f>
        <v>Weber, Joelle - 30-10-03</v>
      </c>
      <c r="I269" s="81">
        <f>YEAR(tblTermine[[#This Row],[Datum]])</f>
        <v>2030</v>
      </c>
    </row>
    <row r="270" spans="2:9" x14ac:dyDescent="0.25">
      <c r="B270" s="60">
        <v>48124</v>
      </c>
      <c r="C270" s="61" t="s">
        <v>6</v>
      </c>
      <c r="D270" s="61" t="s">
        <v>92</v>
      </c>
      <c r="E270" s="64"/>
      <c r="F270" s="63" cm="1">
        <f t="array" ref="F270">TerminArtId(tblTermine[[#This Row],[Terminart]], tblTermine[[#This Row],[Agent]])</f>
        <v>32</v>
      </c>
      <c r="G270" s="81" t="str" cm="1">
        <f t="array" ref="G270">TerminArtDisplay(tblTermine[[#This Row],[Terminart]], tblTermine[[#This Row],[Agent]])</f>
        <v>Feiertag</v>
      </c>
      <c r="H270" s="81" t="str" cm="1">
        <f t="array" ref="H270">MakeSearchTerm(tblTermine[[#This Row],[Mitarbeiter]], tblTermine[[#This Row],[Datum]])</f>
        <v>Weber, Joelle - 31-10-03</v>
      </c>
      <c r="I270" s="81">
        <f>YEAR(tblTermine[[#This Row],[Datum]])</f>
        <v>2031</v>
      </c>
    </row>
    <row r="271" spans="2:9" x14ac:dyDescent="0.25">
      <c r="B271" s="60">
        <v>45961</v>
      </c>
      <c r="C271" s="61" t="s">
        <v>1</v>
      </c>
      <c r="D271" s="61" t="s">
        <v>92</v>
      </c>
      <c r="E271" s="64"/>
      <c r="F271" s="63" cm="1">
        <f t="array" ref="F271">TerminArtId(tblTermine[[#This Row],[Terminart]], tblTermine[[#This Row],[Agent]])</f>
        <v>32</v>
      </c>
      <c r="G271" s="81" t="str" cm="1">
        <f t="array" ref="G271">TerminArtDisplay(tblTermine[[#This Row],[Terminart]], tblTermine[[#This Row],[Agent]])</f>
        <v>Feiertag</v>
      </c>
      <c r="H271" s="81" t="str" cm="1">
        <f t="array" ref="H271">MakeSearchTerm(tblTermine[[#This Row],[Mitarbeiter]], tblTermine[[#This Row],[Datum]])</f>
        <v>Lehrmann, Marcel - 25-10-31</v>
      </c>
      <c r="I271" s="81">
        <f>YEAR(tblTermine[[#This Row],[Datum]])</f>
        <v>2025</v>
      </c>
    </row>
    <row r="272" spans="2:9" x14ac:dyDescent="0.25">
      <c r="B272" s="60">
        <v>47057</v>
      </c>
      <c r="C272" s="61" t="s">
        <v>1</v>
      </c>
      <c r="D272" s="61" t="s">
        <v>92</v>
      </c>
      <c r="E272" s="64"/>
      <c r="F272" s="63" cm="1">
        <f t="array" ref="F272">TerminArtId(tblTermine[[#This Row],[Terminart]], tblTermine[[#This Row],[Agent]])</f>
        <v>32</v>
      </c>
      <c r="G272" s="81" t="str" cm="1">
        <f t="array" ref="G272">TerminArtDisplay(tblTermine[[#This Row],[Terminart]], tblTermine[[#This Row],[Agent]])</f>
        <v>Feiertag</v>
      </c>
      <c r="H272" s="81" t="str" cm="1">
        <f t="array" ref="H272">MakeSearchTerm(tblTermine[[#This Row],[Mitarbeiter]], tblTermine[[#This Row],[Datum]])</f>
        <v>Lehrmann, Marcel - 28-10-31</v>
      </c>
      <c r="I272" s="81">
        <f>YEAR(tblTermine[[#This Row],[Datum]])</f>
        <v>2028</v>
      </c>
    </row>
    <row r="273" spans="2:9" x14ac:dyDescent="0.25">
      <c r="B273" s="60">
        <v>47422</v>
      </c>
      <c r="C273" s="61" t="s">
        <v>1</v>
      </c>
      <c r="D273" s="61" t="s">
        <v>92</v>
      </c>
      <c r="E273" s="64"/>
      <c r="F273" s="63" cm="1">
        <f t="array" ref="F273">TerminArtId(tblTermine[[#This Row],[Terminart]], tblTermine[[#This Row],[Agent]])</f>
        <v>32</v>
      </c>
      <c r="G273" s="81" t="str" cm="1">
        <f t="array" ref="G273">TerminArtDisplay(tblTermine[[#This Row],[Terminart]], tblTermine[[#This Row],[Agent]])</f>
        <v>Feiertag</v>
      </c>
      <c r="H273" s="81" t="str" cm="1">
        <f t="array" ref="H273">MakeSearchTerm(tblTermine[[#This Row],[Mitarbeiter]], tblTermine[[#This Row],[Datum]])</f>
        <v>Lehrmann, Marcel - 29-10-31</v>
      </c>
      <c r="I273" s="81">
        <f>YEAR(tblTermine[[#This Row],[Datum]])</f>
        <v>2029</v>
      </c>
    </row>
    <row r="274" spans="2:9" x14ac:dyDescent="0.25">
      <c r="B274" s="60">
        <v>47787</v>
      </c>
      <c r="C274" s="61" t="s">
        <v>1</v>
      </c>
      <c r="D274" s="61" t="s">
        <v>92</v>
      </c>
      <c r="E274" s="64"/>
      <c r="F274" s="63" cm="1">
        <f t="array" ref="F274">TerminArtId(tblTermine[[#This Row],[Terminart]], tblTermine[[#This Row],[Agent]])</f>
        <v>32</v>
      </c>
      <c r="G274" s="81" t="str" cm="1">
        <f t="array" ref="G274">TerminArtDisplay(tblTermine[[#This Row],[Terminart]], tblTermine[[#This Row],[Agent]])</f>
        <v>Feiertag</v>
      </c>
      <c r="H274" s="81" t="str" cm="1">
        <f t="array" ref="H274">MakeSearchTerm(tblTermine[[#This Row],[Mitarbeiter]], tblTermine[[#This Row],[Datum]])</f>
        <v>Lehrmann, Marcel - 30-10-31</v>
      </c>
      <c r="I274" s="81">
        <f>YEAR(tblTermine[[#This Row],[Datum]])</f>
        <v>2030</v>
      </c>
    </row>
    <row r="275" spans="2:9" x14ac:dyDescent="0.25">
      <c r="B275" s="60">
        <v>48152</v>
      </c>
      <c r="C275" s="61" t="s">
        <v>1</v>
      </c>
      <c r="D275" s="61" t="s">
        <v>92</v>
      </c>
      <c r="E275" s="64"/>
      <c r="F275" s="63" cm="1">
        <f t="array" ref="F275">TerminArtId(tblTermine[[#This Row],[Terminart]], tblTermine[[#This Row],[Agent]])</f>
        <v>32</v>
      </c>
      <c r="G275" s="81" t="str" cm="1">
        <f t="array" ref="G275">TerminArtDisplay(tblTermine[[#This Row],[Terminart]], tblTermine[[#This Row],[Agent]])</f>
        <v>Feiertag</v>
      </c>
      <c r="H275" s="81" t="str" cm="1">
        <f t="array" ref="H275">MakeSearchTerm(tblTermine[[#This Row],[Mitarbeiter]], tblTermine[[#This Row],[Datum]])</f>
        <v>Lehrmann, Marcel - 31-10-31</v>
      </c>
      <c r="I275" s="81">
        <f>YEAR(tblTermine[[#This Row],[Datum]])</f>
        <v>2031</v>
      </c>
    </row>
    <row r="276" spans="2:9" x14ac:dyDescent="0.25">
      <c r="B276" s="60">
        <v>45961</v>
      </c>
      <c r="C276" s="61" t="s">
        <v>4</v>
      </c>
      <c r="D276" s="61" t="s">
        <v>92</v>
      </c>
      <c r="E276" s="64"/>
      <c r="F276" s="63" cm="1">
        <f t="array" ref="F276">TerminArtId(tblTermine[[#This Row],[Terminart]], tblTermine[[#This Row],[Agent]])</f>
        <v>32</v>
      </c>
      <c r="G276" s="81" t="str" cm="1">
        <f t="array" ref="G276">TerminArtDisplay(tblTermine[[#This Row],[Terminart]], tblTermine[[#This Row],[Agent]])</f>
        <v>Feiertag</v>
      </c>
      <c r="H276" s="81" t="str" cm="1">
        <f t="array" ref="H276">MakeSearchTerm(tblTermine[[#This Row],[Mitarbeiter]], tblTermine[[#This Row],[Datum]])</f>
        <v>Schweitzer, Sven - 25-10-31</v>
      </c>
      <c r="I276" s="81">
        <f>YEAR(tblTermine[[#This Row],[Datum]])</f>
        <v>2025</v>
      </c>
    </row>
    <row r="277" spans="2:9" x14ac:dyDescent="0.25">
      <c r="B277" s="60">
        <v>47057</v>
      </c>
      <c r="C277" s="61" t="s">
        <v>4</v>
      </c>
      <c r="D277" s="61" t="s">
        <v>92</v>
      </c>
      <c r="E277" s="64"/>
      <c r="F277" s="63" cm="1">
        <f t="array" ref="F277">TerminArtId(tblTermine[[#This Row],[Terminart]], tblTermine[[#This Row],[Agent]])</f>
        <v>32</v>
      </c>
      <c r="G277" s="81" t="str" cm="1">
        <f t="array" ref="G277">TerminArtDisplay(tblTermine[[#This Row],[Terminart]], tblTermine[[#This Row],[Agent]])</f>
        <v>Feiertag</v>
      </c>
      <c r="H277" s="81" t="str" cm="1">
        <f t="array" ref="H277">MakeSearchTerm(tblTermine[[#This Row],[Mitarbeiter]], tblTermine[[#This Row],[Datum]])</f>
        <v>Schweitzer, Sven - 28-10-31</v>
      </c>
      <c r="I277" s="81">
        <f>YEAR(tblTermine[[#This Row],[Datum]])</f>
        <v>2028</v>
      </c>
    </row>
    <row r="278" spans="2:9" x14ac:dyDescent="0.25">
      <c r="B278" s="60">
        <v>47422</v>
      </c>
      <c r="C278" s="61" t="s">
        <v>4</v>
      </c>
      <c r="D278" s="61" t="s">
        <v>92</v>
      </c>
      <c r="E278" s="64"/>
      <c r="F278" s="63" cm="1">
        <f t="array" ref="F278">TerminArtId(tblTermine[[#This Row],[Terminart]], tblTermine[[#This Row],[Agent]])</f>
        <v>32</v>
      </c>
      <c r="G278" s="81" t="str" cm="1">
        <f t="array" ref="G278">TerminArtDisplay(tblTermine[[#This Row],[Terminart]], tblTermine[[#This Row],[Agent]])</f>
        <v>Feiertag</v>
      </c>
      <c r="H278" s="81" t="str" cm="1">
        <f t="array" ref="H278">MakeSearchTerm(tblTermine[[#This Row],[Mitarbeiter]], tblTermine[[#This Row],[Datum]])</f>
        <v>Schweitzer, Sven - 29-10-31</v>
      </c>
      <c r="I278" s="81">
        <f>YEAR(tblTermine[[#This Row],[Datum]])</f>
        <v>2029</v>
      </c>
    </row>
    <row r="279" spans="2:9" x14ac:dyDescent="0.25">
      <c r="B279" s="60">
        <v>47787</v>
      </c>
      <c r="C279" s="61" t="s">
        <v>4</v>
      </c>
      <c r="D279" s="61" t="s">
        <v>92</v>
      </c>
      <c r="E279" s="64"/>
      <c r="F279" s="63" cm="1">
        <f t="array" ref="F279">TerminArtId(tblTermine[[#This Row],[Terminart]], tblTermine[[#This Row],[Agent]])</f>
        <v>32</v>
      </c>
      <c r="G279" s="81" t="str" cm="1">
        <f t="array" ref="G279">TerminArtDisplay(tblTermine[[#This Row],[Terminart]], tblTermine[[#This Row],[Agent]])</f>
        <v>Feiertag</v>
      </c>
      <c r="H279" s="81" t="str" cm="1">
        <f t="array" ref="H279">MakeSearchTerm(tblTermine[[#This Row],[Mitarbeiter]], tblTermine[[#This Row],[Datum]])</f>
        <v>Schweitzer, Sven - 30-10-31</v>
      </c>
      <c r="I279" s="81">
        <f>YEAR(tblTermine[[#This Row],[Datum]])</f>
        <v>2030</v>
      </c>
    </row>
    <row r="280" spans="2:9" x14ac:dyDescent="0.25">
      <c r="B280" s="60">
        <v>48152</v>
      </c>
      <c r="C280" s="61" t="s">
        <v>4</v>
      </c>
      <c r="D280" s="61" t="s">
        <v>92</v>
      </c>
      <c r="E280" s="64"/>
      <c r="F280" s="63" cm="1">
        <f t="array" ref="F280">TerminArtId(tblTermine[[#This Row],[Terminart]], tblTermine[[#This Row],[Agent]])</f>
        <v>32</v>
      </c>
      <c r="G280" s="81" t="str" cm="1">
        <f t="array" ref="G280">TerminArtDisplay(tblTermine[[#This Row],[Terminart]], tblTermine[[#This Row],[Agent]])</f>
        <v>Feiertag</v>
      </c>
      <c r="H280" s="81" t="str" cm="1">
        <f t="array" ref="H280">MakeSearchTerm(tblTermine[[#This Row],[Mitarbeiter]], tblTermine[[#This Row],[Datum]])</f>
        <v>Schweitzer, Sven - 31-10-31</v>
      </c>
      <c r="I280" s="81">
        <f>YEAR(tblTermine[[#This Row],[Datum]])</f>
        <v>2031</v>
      </c>
    </row>
    <row r="281" spans="2:9" x14ac:dyDescent="0.25">
      <c r="B281" s="60">
        <v>46692</v>
      </c>
      <c r="C281" s="61" t="s">
        <v>3</v>
      </c>
      <c r="D281" s="61" t="s">
        <v>92</v>
      </c>
      <c r="E281" s="64"/>
      <c r="F281" s="63" cm="1">
        <f t="array" ref="F281">TerminArtId(tblTermine[[#This Row],[Terminart]], tblTermine[[#This Row],[Agent]])</f>
        <v>32</v>
      </c>
      <c r="G281" s="81" t="str" cm="1">
        <f t="array" ref="G281">TerminArtDisplay(tblTermine[[#This Row],[Terminart]], tblTermine[[#This Row],[Agent]])</f>
        <v>Feiertag</v>
      </c>
      <c r="H281" s="81" t="str" cm="1">
        <f t="array" ref="H281">MakeSearchTerm(tblTermine[[#This Row],[Mitarbeiter]], tblTermine[[#This Row],[Datum]])</f>
        <v>Plottek, André - 27-11-01</v>
      </c>
      <c r="I281" s="81">
        <f>YEAR(tblTermine[[#This Row],[Datum]])</f>
        <v>2027</v>
      </c>
    </row>
    <row r="282" spans="2:9" x14ac:dyDescent="0.25">
      <c r="B282" s="60">
        <v>47058</v>
      </c>
      <c r="C282" s="61" t="s">
        <v>3</v>
      </c>
      <c r="D282" s="61" t="s">
        <v>92</v>
      </c>
      <c r="E282" s="64"/>
      <c r="F282" s="63" cm="1">
        <f t="array" ref="F282">TerminArtId(tblTermine[[#This Row],[Terminart]], tblTermine[[#This Row],[Agent]])</f>
        <v>32</v>
      </c>
      <c r="G282" s="81" t="str" cm="1">
        <f t="array" ref="G282">TerminArtDisplay(tblTermine[[#This Row],[Terminart]], tblTermine[[#This Row],[Agent]])</f>
        <v>Feiertag</v>
      </c>
      <c r="H282" s="81" t="str" cm="1">
        <f t="array" ref="H282">MakeSearchTerm(tblTermine[[#This Row],[Mitarbeiter]], tblTermine[[#This Row],[Datum]])</f>
        <v>Plottek, André - 28-11-01</v>
      </c>
      <c r="I282" s="81">
        <f>YEAR(tblTermine[[#This Row],[Datum]])</f>
        <v>2028</v>
      </c>
    </row>
    <row r="283" spans="2:9" x14ac:dyDescent="0.25">
      <c r="B283" s="60">
        <v>47423</v>
      </c>
      <c r="C283" s="61" t="s">
        <v>3</v>
      </c>
      <c r="D283" s="61" t="s">
        <v>92</v>
      </c>
      <c r="E283" s="64"/>
      <c r="F283" s="63" cm="1">
        <f t="array" ref="F283">TerminArtId(tblTermine[[#This Row],[Terminart]], tblTermine[[#This Row],[Agent]])</f>
        <v>32</v>
      </c>
      <c r="G283" s="81" t="str" cm="1">
        <f t="array" ref="G283">TerminArtDisplay(tblTermine[[#This Row],[Terminart]], tblTermine[[#This Row],[Agent]])</f>
        <v>Feiertag</v>
      </c>
      <c r="H283" s="81" t="str" cm="1">
        <f t="array" ref="H283">MakeSearchTerm(tblTermine[[#This Row],[Mitarbeiter]], tblTermine[[#This Row],[Datum]])</f>
        <v>Plottek, André - 29-11-01</v>
      </c>
      <c r="I283" s="81">
        <f>YEAR(tblTermine[[#This Row],[Datum]])</f>
        <v>2029</v>
      </c>
    </row>
    <row r="284" spans="2:9" x14ac:dyDescent="0.25">
      <c r="B284" s="60">
        <v>47788</v>
      </c>
      <c r="C284" s="61" t="s">
        <v>3</v>
      </c>
      <c r="D284" s="61" t="s">
        <v>92</v>
      </c>
      <c r="E284" s="64"/>
      <c r="F284" s="63" cm="1">
        <f t="array" ref="F284">TerminArtId(tblTermine[[#This Row],[Terminart]], tblTermine[[#This Row],[Agent]])</f>
        <v>32</v>
      </c>
      <c r="G284" s="81" t="str" cm="1">
        <f t="array" ref="G284">TerminArtDisplay(tblTermine[[#This Row],[Terminart]], tblTermine[[#This Row],[Agent]])</f>
        <v>Feiertag</v>
      </c>
      <c r="H284" s="81" t="str" cm="1">
        <f t="array" ref="H284">MakeSearchTerm(tblTermine[[#This Row],[Mitarbeiter]], tblTermine[[#This Row],[Datum]])</f>
        <v>Plottek, André - 30-11-01</v>
      </c>
      <c r="I284" s="81">
        <f>YEAR(tblTermine[[#This Row],[Datum]])</f>
        <v>2030</v>
      </c>
    </row>
    <row r="285" spans="2:9" x14ac:dyDescent="0.25">
      <c r="B285" s="60">
        <v>48519</v>
      </c>
      <c r="C285" s="61" t="s">
        <v>3</v>
      </c>
      <c r="D285" s="61" t="s">
        <v>92</v>
      </c>
      <c r="E285" s="64"/>
      <c r="F285" s="63" cm="1">
        <f t="array" ref="F285">TerminArtId(tblTermine[[#This Row],[Terminart]], tblTermine[[#This Row],[Agent]])</f>
        <v>32</v>
      </c>
      <c r="G285" s="81" t="str" cm="1">
        <f t="array" ref="G285">TerminArtDisplay(tblTermine[[#This Row],[Terminart]], tblTermine[[#This Row],[Agent]])</f>
        <v>Feiertag</v>
      </c>
      <c r="H285" s="81" t="str" cm="1">
        <f t="array" ref="H285">MakeSearchTerm(tblTermine[[#This Row],[Mitarbeiter]], tblTermine[[#This Row],[Datum]])</f>
        <v>Plottek, André - 32-11-01</v>
      </c>
      <c r="I285" s="81">
        <f>YEAR(tblTermine[[#This Row],[Datum]])</f>
        <v>2032</v>
      </c>
    </row>
    <row r="286" spans="2:9" x14ac:dyDescent="0.25">
      <c r="B286" s="60">
        <v>46692</v>
      </c>
      <c r="C286" s="61" t="s">
        <v>6</v>
      </c>
      <c r="D286" s="61" t="s">
        <v>92</v>
      </c>
      <c r="E286" s="64"/>
      <c r="F286" s="63" cm="1">
        <f t="array" ref="F286">TerminArtId(tblTermine[[#This Row],[Terminart]], tblTermine[[#This Row],[Agent]])</f>
        <v>32</v>
      </c>
      <c r="G286" s="81" t="str" cm="1">
        <f t="array" ref="G286">TerminArtDisplay(tblTermine[[#This Row],[Terminart]], tblTermine[[#This Row],[Agent]])</f>
        <v>Feiertag</v>
      </c>
      <c r="H286" s="81" t="str" cm="1">
        <f t="array" ref="H286">MakeSearchTerm(tblTermine[[#This Row],[Mitarbeiter]], tblTermine[[#This Row],[Datum]])</f>
        <v>Weber, Joelle - 27-11-01</v>
      </c>
      <c r="I286" s="81">
        <f>YEAR(tblTermine[[#This Row],[Datum]])</f>
        <v>2027</v>
      </c>
    </row>
    <row r="287" spans="2:9" x14ac:dyDescent="0.25">
      <c r="B287" s="60">
        <v>47058</v>
      </c>
      <c r="C287" s="61" t="s">
        <v>6</v>
      </c>
      <c r="D287" s="61" t="s">
        <v>92</v>
      </c>
      <c r="E287" s="64"/>
      <c r="F287" s="63" cm="1">
        <f t="array" ref="F287">TerminArtId(tblTermine[[#This Row],[Terminart]], tblTermine[[#This Row],[Agent]])</f>
        <v>32</v>
      </c>
      <c r="G287" s="81" t="str" cm="1">
        <f t="array" ref="G287">TerminArtDisplay(tblTermine[[#This Row],[Terminart]], tblTermine[[#This Row],[Agent]])</f>
        <v>Feiertag</v>
      </c>
      <c r="H287" s="81" t="str" cm="1">
        <f t="array" ref="H287">MakeSearchTerm(tblTermine[[#This Row],[Mitarbeiter]], tblTermine[[#This Row],[Datum]])</f>
        <v>Weber, Joelle - 28-11-01</v>
      </c>
      <c r="I287" s="81">
        <f>YEAR(tblTermine[[#This Row],[Datum]])</f>
        <v>2028</v>
      </c>
    </row>
    <row r="288" spans="2:9" x14ac:dyDescent="0.25">
      <c r="B288" s="60">
        <v>47423</v>
      </c>
      <c r="C288" s="61" t="s">
        <v>6</v>
      </c>
      <c r="D288" s="61" t="s">
        <v>92</v>
      </c>
      <c r="E288" s="64"/>
      <c r="F288" s="63" cm="1">
        <f t="array" ref="F288">TerminArtId(tblTermine[[#This Row],[Terminart]], tblTermine[[#This Row],[Agent]])</f>
        <v>32</v>
      </c>
      <c r="G288" s="81" t="str" cm="1">
        <f t="array" ref="G288">TerminArtDisplay(tblTermine[[#This Row],[Terminart]], tblTermine[[#This Row],[Agent]])</f>
        <v>Feiertag</v>
      </c>
      <c r="H288" s="81" t="str" cm="1">
        <f t="array" ref="H288">MakeSearchTerm(tblTermine[[#This Row],[Mitarbeiter]], tblTermine[[#This Row],[Datum]])</f>
        <v>Weber, Joelle - 29-11-01</v>
      </c>
      <c r="I288" s="81">
        <f>YEAR(tblTermine[[#This Row],[Datum]])</f>
        <v>2029</v>
      </c>
    </row>
    <row r="289" spans="2:9" x14ac:dyDescent="0.25">
      <c r="B289" s="60">
        <v>47788</v>
      </c>
      <c r="C289" s="61" t="s">
        <v>6</v>
      </c>
      <c r="D289" s="61" t="s">
        <v>92</v>
      </c>
      <c r="E289" s="64"/>
      <c r="F289" s="63" cm="1">
        <f t="array" ref="F289">TerminArtId(tblTermine[[#This Row],[Terminart]], tblTermine[[#This Row],[Agent]])</f>
        <v>32</v>
      </c>
      <c r="G289" s="81" t="str" cm="1">
        <f t="array" ref="G289">TerminArtDisplay(tblTermine[[#This Row],[Terminart]], tblTermine[[#This Row],[Agent]])</f>
        <v>Feiertag</v>
      </c>
      <c r="H289" s="81" t="str" cm="1">
        <f t="array" ref="H289">MakeSearchTerm(tblTermine[[#This Row],[Mitarbeiter]], tblTermine[[#This Row],[Datum]])</f>
        <v>Weber, Joelle - 30-11-01</v>
      </c>
      <c r="I289" s="81">
        <f>YEAR(tblTermine[[#This Row],[Datum]])</f>
        <v>2030</v>
      </c>
    </row>
    <row r="290" spans="2:9" x14ac:dyDescent="0.25">
      <c r="B290" s="60">
        <v>48519</v>
      </c>
      <c r="C290" s="61" t="s">
        <v>6</v>
      </c>
      <c r="D290" s="61" t="s">
        <v>92</v>
      </c>
      <c r="E290" s="64"/>
      <c r="F290" s="63" cm="1">
        <f t="array" ref="F290">TerminArtId(tblTermine[[#This Row],[Terminart]], tblTermine[[#This Row],[Agent]])</f>
        <v>32</v>
      </c>
      <c r="G290" s="81" t="str" cm="1">
        <f t="array" ref="G290">TerminArtDisplay(tblTermine[[#This Row],[Terminart]], tblTermine[[#This Row],[Agent]])</f>
        <v>Feiertag</v>
      </c>
      <c r="H290" s="81" t="str" cm="1">
        <f t="array" ref="H290">MakeSearchTerm(tblTermine[[#This Row],[Mitarbeiter]], tblTermine[[#This Row],[Datum]])</f>
        <v>Weber, Joelle - 32-11-01</v>
      </c>
      <c r="I290" s="81">
        <f>YEAR(tblTermine[[#This Row],[Datum]])</f>
        <v>2032</v>
      </c>
    </row>
    <row r="291" spans="2:9" x14ac:dyDescent="0.25">
      <c r="B291" s="60">
        <v>46016</v>
      </c>
      <c r="C291" s="61" t="s">
        <v>1</v>
      </c>
      <c r="D291" s="61" t="s">
        <v>92</v>
      </c>
      <c r="E291" s="64"/>
      <c r="F291" s="63" cm="1">
        <f t="array" ref="F291">TerminArtId(tblTermine[[#This Row],[Terminart]], tblTermine[[#This Row],[Agent]])</f>
        <v>32</v>
      </c>
      <c r="G291" s="81" t="str" cm="1">
        <f t="array" ref="G291">TerminArtDisplay(tblTermine[[#This Row],[Terminart]], tblTermine[[#This Row],[Agent]])</f>
        <v>Feiertag</v>
      </c>
      <c r="H291" s="81" t="str" cm="1">
        <f t="array" ref="H291">MakeSearchTerm(tblTermine[[#This Row],[Mitarbeiter]], tblTermine[[#This Row],[Datum]])</f>
        <v>Lehrmann, Marcel - 25-12-25</v>
      </c>
      <c r="I291" s="81">
        <f>YEAR(tblTermine[[#This Row],[Datum]])</f>
        <v>2025</v>
      </c>
    </row>
    <row r="292" spans="2:9" x14ac:dyDescent="0.25">
      <c r="B292" s="60">
        <v>46381</v>
      </c>
      <c r="C292" s="61" t="s">
        <v>1</v>
      </c>
      <c r="D292" s="61" t="s">
        <v>92</v>
      </c>
      <c r="E292" s="64"/>
      <c r="F292" s="63" cm="1">
        <f t="array" ref="F292">TerminArtId(tblTermine[[#This Row],[Terminart]], tblTermine[[#This Row],[Agent]])</f>
        <v>32</v>
      </c>
      <c r="G292" s="81" t="str" cm="1">
        <f t="array" ref="G292">TerminArtDisplay(tblTermine[[#This Row],[Terminart]], tblTermine[[#This Row],[Agent]])</f>
        <v>Feiertag</v>
      </c>
      <c r="H292" s="81" t="str" cm="1">
        <f t="array" ref="H292">MakeSearchTerm(tblTermine[[#This Row],[Mitarbeiter]], tblTermine[[#This Row],[Datum]])</f>
        <v>Lehrmann, Marcel - 26-12-25</v>
      </c>
      <c r="I292" s="81">
        <f>YEAR(tblTermine[[#This Row],[Datum]])</f>
        <v>2026</v>
      </c>
    </row>
    <row r="293" spans="2:9" x14ac:dyDescent="0.25">
      <c r="B293" s="60">
        <v>47112</v>
      </c>
      <c r="C293" s="61" t="s">
        <v>1</v>
      </c>
      <c r="D293" s="61" t="s">
        <v>92</v>
      </c>
      <c r="E293" s="64"/>
      <c r="F293" s="63" cm="1">
        <f t="array" ref="F293">TerminArtId(tblTermine[[#This Row],[Terminart]], tblTermine[[#This Row],[Agent]])</f>
        <v>32</v>
      </c>
      <c r="G293" s="81" t="str" cm="1">
        <f t="array" ref="G293">TerminArtDisplay(tblTermine[[#This Row],[Terminart]], tblTermine[[#This Row],[Agent]])</f>
        <v>Feiertag</v>
      </c>
      <c r="H293" s="81" t="str" cm="1">
        <f t="array" ref="H293">MakeSearchTerm(tblTermine[[#This Row],[Mitarbeiter]], tblTermine[[#This Row],[Datum]])</f>
        <v>Lehrmann, Marcel - 28-12-25</v>
      </c>
      <c r="I293" s="81">
        <f>YEAR(tblTermine[[#This Row],[Datum]])</f>
        <v>2028</v>
      </c>
    </row>
    <row r="294" spans="2:9" x14ac:dyDescent="0.25">
      <c r="B294" s="60">
        <v>47477</v>
      </c>
      <c r="C294" s="61" t="s">
        <v>1</v>
      </c>
      <c r="D294" s="61" t="s">
        <v>92</v>
      </c>
      <c r="E294" s="64"/>
      <c r="F294" s="63" cm="1">
        <f t="array" ref="F294">TerminArtId(tblTermine[[#This Row],[Terminart]], tblTermine[[#This Row],[Agent]])</f>
        <v>32</v>
      </c>
      <c r="G294" s="81" t="str" cm="1">
        <f t="array" ref="G294">TerminArtDisplay(tblTermine[[#This Row],[Terminart]], tblTermine[[#This Row],[Agent]])</f>
        <v>Feiertag</v>
      </c>
      <c r="H294" s="81" t="str" cm="1">
        <f t="array" ref="H294">MakeSearchTerm(tblTermine[[#This Row],[Mitarbeiter]], tblTermine[[#This Row],[Datum]])</f>
        <v>Lehrmann, Marcel - 29-12-25</v>
      </c>
      <c r="I294" s="81">
        <f>YEAR(tblTermine[[#This Row],[Datum]])</f>
        <v>2029</v>
      </c>
    </row>
    <row r="295" spans="2:9" x14ac:dyDescent="0.25">
      <c r="B295" s="60">
        <v>47842</v>
      </c>
      <c r="C295" s="61" t="s">
        <v>1</v>
      </c>
      <c r="D295" s="61" t="s">
        <v>92</v>
      </c>
      <c r="E295" s="64"/>
      <c r="F295" s="63" cm="1">
        <f t="array" ref="F295">TerminArtId(tblTermine[[#This Row],[Terminart]], tblTermine[[#This Row],[Agent]])</f>
        <v>32</v>
      </c>
      <c r="G295" s="81" t="str" cm="1">
        <f t="array" ref="G295">TerminArtDisplay(tblTermine[[#This Row],[Terminart]], tblTermine[[#This Row],[Agent]])</f>
        <v>Feiertag</v>
      </c>
      <c r="H295" s="81" t="str" cm="1">
        <f t="array" ref="H295">MakeSearchTerm(tblTermine[[#This Row],[Mitarbeiter]], tblTermine[[#This Row],[Datum]])</f>
        <v>Lehrmann, Marcel - 30-12-25</v>
      </c>
      <c r="I295" s="81">
        <f>YEAR(tblTermine[[#This Row],[Datum]])</f>
        <v>2030</v>
      </c>
    </row>
    <row r="296" spans="2:9" x14ac:dyDescent="0.25">
      <c r="B296" s="60">
        <v>48207</v>
      </c>
      <c r="C296" s="61" t="s">
        <v>1</v>
      </c>
      <c r="D296" s="61" t="s">
        <v>92</v>
      </c>
      <c r="E296" s="64"/>
      <c r="F296" s="63" cm="1">
        <f t="array" ref="F296">TerminArtId(tblTermine[[#This Row],[Terminart]], tblTermine[[#This Row],[Agent]])</f>
        <v>32</v>
      </c>
      <c r="G296" s="81" t="str" cm="1">
        <f t="array" ref="G296">TerminArtDisplay(tblTermine[[#This Row],[Terminart]], tblTermine[[#This Row],[Agent]])</f>
        <v>Feiertag</v>
      </c>
      <c r="H296" s="81" t="str" cm="1">
        <f t="array" ref="H296">MakeSearchTerm(tblTermine[[#This Row],[Mitarbeiter]], tblTermine[[#This Row],[Datum]])</f>
        <v>Lehrmann, Marcel - 31-12-25</v>
      </c>
      <c r="I296" s="81">
        <f>YEAR(tblTermine[[#This Row],[Datum]])</f>
        <v>2031</v>
      </c>
    </row>
    <row r="297" spans="2:9" x14ac:dyDescent="0.25">
      <c r="B297" s="60">
        <v>46016</v>
      </c>
      <c r="C297" s="61" t="s">
        <v>3</v>
      </c>
      <c r="D297" s="61" t="s">
        <v>92</v>
      </c>
      <c r="E297" s="64"/>
      <c r="F297" s="63" cm="1">
        <f t="array" ref="F297">TerminArtId(tblTermine[[#This Row],[Terminart]], tblTermine[[#This Row],[Agent]])</f>
        <v>32</v>
      </c>
      <c r="G297" s="81" t="str" cm="1">
        <f t="array" ref="G297">TerminArtDisplay(tblTermine[[#This Row],[Terminart]], tblTermine[[#This Row],[Agent]])</f>
        <v>Feiertag</v>
      </c>
      <c r="H297" s="81" t="str" cm="1">
        <f t="array" ref="H297">MakeSearchTerm(tblTermine[[#This Row],[Mitarbeiter]], tblTermine[[#This Row],[Datum]])</f>
        <v>Plottek, André - 25-12-25</v>
      </c>
      <c r="I297" s="81">
        <f>YEAR(tblTermine[[#This Row],[Datum]])</f>
        <v>2025</v>
      </c>
    </row>
    <row r="298" spans="2:9" x14ac:dyDescent="0.25">
      <c r="B298" s="60">
        <v>46381</v>
      </c>
      <c r="C298" s="61" t="s">
        <v>3</v>
      </c>
      <c r="D298" s="61" t="s">
        <v>92</v>
      </c>
      <c r="E298" s="64"/>
      <c r="F298" s="63" cm="1">
        <f t="array" ref="F298">TerminArtId(tblTermine[[#This Row],[Terminart]], tblTermine[[#This Row],[Agent]])</f>
        <v>32</v>
      </c>
      <c r="G298" s="81" t="str" cm="1">
        <f t="array" ref="G298">TerminArtDisplay(tblTermine[[#This Row],[Terminart]], tblTermine[[#This Row],[Agent]])</f>
        <v>Feiertag</v>
      </c>
      <c r="H298" s="81" t="str" cm="1">
        <f t="array" ref="H298">MakeSearchTerm(tblTermine[[#This Row],[Mitarbeiter]], tblTermine[[#This Row],[Datum]])</f>
        <v>Plottek, André - 26-12-25</v>
      </c>
      <c r="I298" s="81">
        <f>YEAR(tblTermine[[#This Row],[Datum]])</f>
        <v>2026</v>
      </c>
    </row>
    <row r="299" spans="2:9" x14ac:dyDescent="0.25">
      <c r="B299" s="60">
        <v>47112</v>
      </c>
      <c r="C299" s="61" t="s">
        <v>3</v>
      </c>
      <c r="D299" s="61" t="s">
        <v>92</v>
      </c>
      <c r="E299" s="64"/>
      <c r="F299" s="63" cm="1">
        <f t="array" ref="F299">TerminArtId(tblTermine[[#This Row],[Terminart]], tblTermine[[#This Row],[Agent]])</f>
        <v>32</v>
      </c>
      <c r="G299" s="81" t="str" cm="1">
        <f t="array" ref="G299">TerminArtDisplay(tblTermine[[#This Row],[Terminart]], tblTermine[[#This Row],[Agent]])</f>
        <v>Feiertag</v>
      </c>
      <c r="H299" s="81" t="str" cm="1">
        <f t="array" ref="H299">MakeSearchTerm(tblTermine[[#This Row],[Mitarbeiter]], tblTermine[[#This Row],[Datum]])</f>
        <v>Plottek, André - 28-12-25</v>
      </c>
      <c r="I299" s="81">
        <f>YEAR(tblTermine[[#This Row],[Datum]])</f>
        <v>2028</v>
      </c>
    </row>
    <row r="300" spans="2:9" x14ac:dyDescent="0.25">
      <c r="B300" s="60">
        <v>47477</v>
      </c>
      <c r="C300" s="61" t="s">
        <v>3</v>
      </c>
      <c r="D300" s="61" t="s">
        <v>92</v>
      </c>
      <c r="E300" s="64"/>
      <c r="F300" s="63" cm="1">
        <f t="array" ref="F300">TerminArtId(tblTermine[[#This Row],[Terminart]], tblTermine[[#This Row],[Agent]])</f>
        <v>32</v>
      </c>
      <c r="G300" s="81" t="str" cm="1">
        <f t="array" ref="G300">TerminArtDisplay(tblTermine[[#This Row],[Terminart]], tblTermine[[#This Row],[Agent]])</f>
        <v>Feiertag</v>
      </c>
      <c r="H300" s="81" t="str" cm="1">
        <f t="array" ref="H300">MakeSearchTerm(tblTermine[[#This Row],[Mitarbeiter]], tblTermine[[#This Row],[Datum]])</f>
        <v>Plottek, André - 29-12-25</v>
      </c>
      <c r="I300" s="81">
        <f>YEAR(tblTermine[[#This Row],[Datum]])</f>
        <v>2029</v>
      </c>
    </row>
    <row r="301" spans="2:9" x14ac:dyDescent="0.25">
      <c r="B301" s="60">
        <v>47842</v>
      </c>
      <c r="C301" s="61" t="s">
        <v>3</v>
      </c>
      <c r="D301" s="61" t="s">
        <v>92</v>
      </c>
      <c r="E301" s="64"/>
      <c r="F301" s="63" cm="1">
        <f t="array" ref="F301">TerminArtId(tblTermine[[#This Row],[Terminart]], tblTermine[[#This Row],[Agent]])</f>
        <v>32</v>
      </c>
      <c r="G301" s="81" t="str" cm="1">
        <f t="array" ref="G301">TerminArtDisplay(tblTermine[[#This Row],[Terminart]], tblTermine[[#This Row],[Agent]])</f>
        <v>Feiertag</v>
      </c>
      <c r="H301" s="81" t="str" cm="1">
        <f t="array" ref="H301">MakeSearchTerm(tblTermine[[#This Row],[Mitarbeiter]], tblTermine[[#This Row],[Datum]])</f>
        <v>Plottek, André - 30-12-25</v>
      </c>
      <c r="I301" s="81">
        <f>YEAR(tblTermine[[#This Row],[Datum]])</f>
        <v>2030</v>
      </c>
    </row>
    <row r="302" spans="2:9" x14ac:dyDescent="0.25">
      <c r="B302" s="60">
        <v>48207</v>
      </c>
      <c r="C302" s="61" t="s">
        <v>3</v>
      </c>
      <c r="D302" s="61" t="s">
        <v>92</v>
      </c>
      <c r="E302" s="64"/>
      <c r="F302" s="63" cm="1">
        <f t="array" ref="F302">TerminArtId(tblTermine[[#This Row],[Terminart]], tblTermine[[#This Row],[Agent]])</f>
        <v>32</v>
      </c>
      <c r="G302" s="81" t="str" cm="1">
        <f t="array" ref="G302">TerminArtDisplay(tblTermine[[#This Row],[Terminart]], tblTermine[[#This Row],[Agent]])</f>
        <v>Feiertag</v>
      </c>
      <c r="H302" s="81" t="str" cm="1">
        <f t="array" ref="H302">MakeSearchTerm(tblTermine[[#This Row],[Mitarbeiter]], tblTermine[[#This Row],[Datum]])</f>
        <v>Plottek, André - 31-12-25</v>
      </c>
      <c r="I302" s="81">
        <f>YEAR(tblTermine[[#This Row],[Datum]])</f>
        <v>2031</v>
      </c>
    </row>
    <row r="303" spans="2:9" x14ac:dyDescent="0.25">
      <c r="B303" s="60">
        <v>46016</v>
      </c>
      <c r="C303" s="61" t="s">
        <v>4</v>
      </c>
      <c r="D303" s="61" t="s">
        <v>92</v>
      </c>
      <c r="E303" s="64"/>
      <c r="F303" s="63" cm="1">
        <f t="array" ref="F303">TerminArtId(tblTermine[[#This Row],[Terminart]], tblTermine[[#This Row],[Agent]])</f>
        <v>32</v>
      </c>
      <c r="G303" s="81" t="str" cm="1">
        <f t="array" ref="G303">TerminArtDisplay(tblTermine[[#This Row],[Terminart]], tblTermine[[#This Row],[Agent]])</f>
        <v>Feiertag</v>
      </c>
      <c r="H303" s="81" t="str" cm="1">
        <f t="array" ref="H303">MakeSearchTerm(tblTermine[[#This Row],[Mitarbeiter]], tblTermine[[#This Row],[Datum]])</f>
        <v>Schweitzer, Sven - 25-12-25</v>
      </c>
      <c r="I303" s="81">
        <f>YEAR(tblTermine[[#This Row],[Datum]])</f>
        <v>2025</v>
      </c>
    </row>
    <row r="304" spans="2:9" x14ac:dyDescent="0.25">
      <c r="B304" s="60">
        <v>46381</v>
      </c>
      <c r="C304" s="61" t="s">
        <v>4</v>
      </c>
      <c r="D304" s="61" t="s">
        <v>92</v>
      </c>
      <c r="E304" s="64"/>
      <c r="F304" s="63" cm="1">
        <f t="array" ref="F304">TerminArtId(tblTermine[[#This Row],[Terminart]], tblTermine[[#This Row],[Agent]])</f>
        <v>32</v>
      </c>
      <c r="G304" s="81" t="str" cm="1">
        <f t="array" ref="G304">TerminArtDisplay(tblTermine[[#This Row],[Terminart]], tblTermine[[#This Row],[Agent]])</f>
        <v>Feiertag</v>
      </c>
      <c r="H304" s="81" t="str" cm="1">
        <f t="array" ref="H304">MakeSearchTerm(tblTermine[[#This Row],[Mitarbeiter]], tblTermine[[#This Row],[Datum]])</f>
        <v>Schweitzer, Sven - 26-12-25</v>
      </c>
      <c r="I304" s="81">
        <f>YEAR(tblTermine[[#This Row],[Datum]])</f>
        <v>2026</v>
      </c>
    </row>
    <row r="305" spans="2:9" x14ac:dyDescent="0.25">
      <c r="B305" s="60">
        <v>47112</v>
      </c>
      <c r="C305" s="61" t="s">
        <v>4</v>
      </c>
      <c r="D305" s="61" t="s">
        <v>92</v>
      </c>
      <c r="E305" s="64"/>
      <c r="F305" s="63" cm="1">
        <f t="array" ref="F305">TerminArtId(tblTermine[[#This Row],[Terminart]], tblTermine[[#This Row],[Agent]])</f>
        <v>32</v>
      </c>
      <c r="G305" s="81" t="str" cm="1">
        <f t="array" ref="G305">TerminArtDisplay(tblTermine[[#This Row],[Terminart]], tblTermine[[#This Row],[Agent]])</f>
        <v>Feiertag</v>
      </c>
      <c r="H305" s="81" t="str" cm="1">
        <f t="array" ref="H305">MakeSearchTerm(tblTermine[[#This Row],[Mitarbeiter]], tblTermine[[#This Row],[Datum]])</f>
        <v>Schweitzer, Sven - 28-12-25</v>
      </c>
      <c r="I305" s="81">
        <f>YEAR(tblTermine[[#This Row],[Datum]])</f>
        <v>2028</v>
      </c>
    </row>
    <row r="306" spans="2:9" x14ac:dyDescent="0.25">
      <c r="B306" s="60">
        <v>47477</v>
      </c>
      <c r="C306" s="61" t="s">
        <v>4</v>
      </c>
      <c r="D306" s="61" t="s">
        <v>92</v>
      </c>
      <c r="E306" s="64"/>
      <c r="F306" s="63" cm="1">
        <f t="array" ref="F306">TerminArtId(tblTermine[[#This Row],[Terminart]], tblTermine[[#This Row],[Agent]])</f>
        <v>32</v>
      </c>
      <c r="G306" s="81" t="str" cm="1">
        <f t="array" ref="G306">TerminArtDisplay(tblTermine[[#This Row],[Terminart]], tblTermine[[#This Row],[Agent]])</f>
        <v>Feiertag</v>
      </c>
      <c r="H306" s="81" t="str" cm="1">
        <f t="array" ref="H306">MakeSearchTerm(tblTermine[[#This Row],[Mitarbeiter]], tblTermine[[#This Row],[Datum]])</f>
        <v>Schweitzer, Sven - 29-12-25</v>
      </c>
      <c r="I306" s="81">
        <f>YEAR(tblTermine[[#This Row],[Datum]])</f>
        <v>2029</v>
      </c>
    </row>
    <row r="307" spans="2:9" x14ac:dyDescent="0.25">
      <c r="B307" s="60">
        <v>47842</v>
      </c>
      <c r="C307" s="61" t="s">
        <v>4</v>
      </c>
      <c r="D307" s="61" t="s">
        <v>92</v>
      </c>
      <c r="E307" s="64"/>
      <c r="F307" s="63" cm="1">
        <f t="array" ref="F307">TerminArtId(tblTermine[[#This Row],[Terminart]], tblTermine[[#This Row],[Agent]])</f>
        <v>32</v>
      </c>
      <c r="G307" s="81" t="str" cm="1">
        <f t="array" ref="G307">TerminArtDisplay(tblTermine[[#This Row],[Terminart]], tblTermine[[#This Row],[Agent]])</f>
        <v>Feiertag</v>
      </c>
      <c r="H307" s="81" t="str" cm="1">
        <f t="array" ref="H307">MakeSearchTerm(tblTermine[[#This Row],[Mitarbeiter]], tblTermine[[#This Row],[Datum]])</f>
        <v>Schweitzer, Sven - 30-12-25</v>
      </c>
      <c r="I307" s="81">
        <f>YEAR(tblTermine[[#This Row],[Datum]])</f>
        <v>2030</v>
      </c>
    </row>
    <row r="308" spans="2:9" x14ac:dyDescent="0.25">
      <c r="B308" s="60">
        <v>48207</v>
      </c>
      <c r="C308" s="61" t="s">
        <v>4</v>
      </c>
      <c r="D308" s="61" t="s">
        <v>92</v>
      </c>
      <c r="E308" s="64"/>
      <c r="F308" s="63" cm="1">
        <f t="array" ref="F308">TerminArtId(tblTermine[[#This Row],[Terminart]], tblTermine[[#This Row],[Agent]])</f>
        <v>32</v>
      </c>
      <c r="G308" s="81" t="str" cm="1">
        <f t="array" ref="G308">TerminArtDisplay(tblTermine[[#This Row],[Terminart]], tblTermine[[#This Row],[Agent]])</f>
        <v>Feiertag</v>
      </c>
      <c r="H308" s="81" t="str" cm="1">
        <f t="array" ref="H308">MakeSearchTerm(tblTermine[[#This Row],[Mitarbeiter]], tblTermine[[#This Row],[Datum]])</f>
        <v>Schweitzer, Sven - 31-12-25</v>
      </c>
      <c r="I308" s="81">
        <f>YEAR(tblTermine[[#This Row],[Datum]])</f>
        <v>2031</v>
      </c>
    </row>
    <row r="309" spans="2:9" x14ac:dyDescent="0.25">
      <c r="B309" s="60">
        <v>46016</v>
      </c>
      <c r="C309" s="61" t="s">
        <v>6</v>
      </c>
      <c r="D309" s="61" t="s">
        <v>92</v>
      </c>
      <c r="E309" s="64"/>
      <c r="F309" s="63" cm="1">
        <f t="array" ref="F309">TerminArtId(tblTermine[[#This Row],[Terminart]], tblTermine[[#This Row],[Agent]])</f>
        <v>32</v>
      </c>
      <c r="G309" s="81" t="str" cm="1">
        <f t="array" ref="G309">TerminArtDisplay(tblTermine[[#This Row],[Terminart]], tblTermine[[#This Row],[Agent]])</f>
        <v>Feiertag</v>
      </c>
      <c r="H309" s="81" t="str" cm="1">
        <f t="array" ref="H309">MakeSearchTerm(tblTermine[[#This Row],[Mitarbeiter]], tblTermine[[#This Row],[Datum]])</f>
        <v>Weber, Joelle - 25-12-25</v>
      </c>
      <c r="I309" s="81">
        <f>YEAR(tblTermine[[#This Row],[Datum]])</f>
        <v>2025</v>
      </c>
    </row>
    <row r="310" spans="2:9" x14ac:dyDescent="0.25">
      <c r="B310" s="60">
        <v>46381</v>
      </c>
      <c r="C310" s="61" t="s">
        <v>6</v>
      </c>
      <c r="D310" s="61" t="s">
        <v>92</v>
      </c>
      <c r="E310" s="64"/>
      <c r="F310" s="63" cm="1">
        <f t="array" ref="F310">TerminArtId(tblTermine[[#This Row],[Terminart]], tblTermine[[#This Row],[Agent]])</f>
        <v>32</v>
      </c>
      <c r="G310" s="81" t="str" cm="1">
        <f t="array" ref="G310">TerminArtDisplay(tblTermine[[#This Row],[Terminart]], tblTermine[[#This Row],[Agent]])</f>
        <v>Feiertag</v>
      </c>
      <c r="H310" s="81" t="str" cm="1">
        <f t="array" ref="H310">MakeSearchTerm(tblTermine[[#This Row],[Mitarbeiter]], tblTermine[[#This Row],[Datum]])</f>
        <v>Weber, Joelle - 26-12-25</v>
      </c>
      <c r="I310" s="81">
        <f>YEAR(tblTermine[[#This Row],[Datum]])</f>
        <v>2026</v>
      </c>
    </row>
    <row r="311" spans="2:9" x14ac:dyDescent="0.25">
      <c r="B311" s="60">
        <v>47112</v>
      </c>
      <c r="C311" s="61" t="s">
        <v>6</v>
      </c>
      <c r="D311" s="61" t="s">
        <v>92</v>
      </c>
      <c r="E311" s="64"/>
      <c r="F311" s="63" cm="1">
        <f t="array" ref="F311">TerminArtId(tblTermine[[#This Row],[Terminart]], tblTermine[[#This Row],[Agent]])</f>
        <v>32</v>
      </c>
      <c r="G311" s="81" t="str" cm="1">
        <f t="array" ref="G311">TerminArtDisplay(tblTermine[[#This Row],[Terminart]], tblTermine[[#This Row],[Agent]])</f>
        <v>Feiertag</v>
      </c>
      <c r="H311" s="81" t="str" cm="1">
        <f t="array" ref="H311">MakeSearchTerm(tblTermine[[#This Row],[Mitarbeiter]], tblTermine[[#This Row],[Datum]])</f>
        <v>Weber, Joelle - 28-12-25</v>
      </c>
      <c r="I311" s="81">
        <f>YEAR(tblTermine[[#This Row],[Datum]])</f>
        <v>2028</v>
      </c>
    </row>
    <row r="312" spans="2:9" x14ac:dyDescent="0.25">
      <c r="B312" s="60">
        <v>47477</v>
      </c>
      <c r="C312" s="61" t="s">
        <v>6</v>
      </c>
      <c r="D312" s="61" t="s">
        <v>92</v>
      </c>
      <c r="E312" s="64"/>
      <c r="F312" s="63" cm="1">
        <f t="array" ref="F312">TerminArtId(tblTermine[[#This Row],[Terminart]], tblTermine[[#This Row],[Agent]])</f>
        <v>32</v>
      </c>
      <c r="G312" s="81" t="str" cm="1">
        <f t="array" ref="G312">TerminArtDisplay(tblTermine[[#This Row],[Terminart]], tblTermine[[#This Row],[Agent]])</f>
        <v>Feiertag</v>
      </c>
      <c r="H312" s="81" t="str" cm="1">
        <f t="array" ref="H312">MakeSearchTerm(tblTermine[[#This Row],[Mitarbeiter]], tblTermine[[#This Row],[Datum]])</f>
        <v>Weber, Joelle - 29-12-25</v>
      </c>
      <c r="I312" s="81">
        <f>YEAR(tblTermine[[#This Row],[Datum]])</f>
        <v>2029</v>
      </c>
    </row>
    <row r="313" spans="2:9" x14ac:dyDescent="0.25">
      <c r="B313" s="60">
        <v>47842</v>
      </c>
      <c r="C313" s="61" t="s">
        <v>6</v>
      </c>
      <c r="D313" s="61" t="s">
        <v>92</v>
      </c>
      <c r="E313" s="64"/>
      <c r="F313" s="63" cm="1">
        <f t="array" ref="F313">TerminArtId(tblTermine[[#This Row],[Terminart]], tblTermine[[#This Row],[Agent]])</f>
        <v>32</v>
      </c>
      <c r="G313" s="81" t="str" cm="1">
        <f t="array" ref="G313">TerminArtDisplay(tblTermine[[#This Row],[Terminart]], tblTermine[[#This Row],[Agent]])</f>
        <v>Feiertag</v>
      </c>
      <c r="H313" s="81" t="str" cm="1">
        <f t="array" ref="H313">MakeSearchTerm(tblTermine[[#This Row],[Mitarbeiter]], tblTermine[[#This Row],[Datum]])</f>
        <v>Weber, Joelle - 30-12-25</v>
      </c>
      <c r="I313" s="81">
        <f>YEAR(tblTermine[[#This Row],[Datum]])</f>
        <v>2030</v>
      </c>
    </row>
    <row r="314" spans="2:9" x14ac:dyDescent="0.25">
      <c r="B314" s="60">
        <v>48207</v>
      </c>
      <c r="C314" s="61" t="s">
        <v>6</v>
      </c>
      <c r="D314" s="61" t="s">
        <v>92</v>
      </c>
      <c r="E314" s="64"/>
      <c r="F314" s="63" cm="1">
        <f t="array" ref="F314">TerminArtId(tblTermine[[#This Row],[Terminart]], tblTermine[[#This Row],[Agent]])</f>
        <v>32</v>
      </c>
      <c r="G314" s="81" t="str" cm="1">
        <f t="array" ref="G314">TerminArtDisplay(tblTermine[[#This Row],[Terminart]], tblTermine[[#This Row],[Agent]])</f>
        <v>Feiertag</v>
      </c>
      <c r="H314" s="81" t="str" cm="1">
        <f t="array" ref="H314">MakeSearchTerm(tblTermine[[#This Row],[Mitarbeiter]], tblTermine[[#This Row],[Datum]])</f>
        <v>Weber, Joelle - 31-12-25</v>
      </c>
      <c r="I314" s="81">
        <f>YEAR(tblTermine[[#This Row],[Datum]])</f>
        <v>2031</v>
      </c>
    </row>
    <row r="315" spans="2:9" x14ac:dyDescent="0.25">
      <c r="B315" s="60">
        <v>46017</v>
      </c>
      <c r="C315" s="61" t="s">
        <v>1</v>
      </c>
      <c r="D315" s="61" t="s">
        <v>92</v>
      </c>
      <c r="E315" s="64"/>
      <c r="F315" s="63" cm="1">
        <f t="array" ref="F315">TerminArtId(tblTermine[[#This Row],[Terminart]], tblTermine[[#This Row],[Agent]])</f>
        <v>32</v>
      </c>
      <c r="G315" s="81" t="str" cm="1">
        <f t="array" ref="G315">TerminArtDisplay(tblTermine[[#This Row],[Terminart]], tblTermine[[#This Row],[Agent]])</f>
        <v>Feiertag</v>
      </c>
      <c r="H315" s="81" t="str" cm="1">
        <f t="array" ref="H315">MakeSearchTerm(tblTermine[[#This Row],[Mitarbeiter]], tblTermine[[#This Row],[Datum]])</f>
        <v>Lehrmann, Marcel - 25-12-26</v>
      </c>
      <c r="I315" s="81">
        <f>YEAR(tblTermine[[#This Row],[Datum]])</f>
        <v>2025</v>
      </c>
    </row>
    <row r="316" spans="2:9" x14ac:dyDescent="0.25">
      <c r="B316" s="60">
        <v>47113</v>
      </c>
      <c r="C316" s="61" t="s">
        <v>1</v>
      </c>
      <c r="D316" s="61" t="s">
        <v>92</v>
      </c>
      <c r="E316" s="64"/>
      <c r="F316" s="63" cm="1">
        <f t="array" ref="F316">TerminArtId(tblTermine[[#This Row],[Terminart]], tblTermine[[#This Row],[Agent]])</f>
        <v>32</v>
      </c>
      <c r="G316" s="81" t="str" cm="1">
        <f t="array" ref="G316">TerminArtDisplay(tblTermine[[#This Row],[Terminart]], tblTermine[[#This Row],[Agent]])</f>
        <v>Feiertag</v>
      </c>
      <c r="H316" s="81" t="str" cm="1">
        <f t="array" ref="H316">MakeSearchTerm(tblTermine[[#This Row],[Mitarbeiter]], tblTermine[[#This Row],[Datum]])</f>
        <v>Lehrmann, Marcel - 28-12-26</v>
      </c>
      <c r="I316" s="81">
        <f>YEAR(tblTermine[[#This Row],[Datum]])</f>
        <v>2028</v>
      </c>
    </row>
    <row r="317" spans="2:9" x14ac:dyDescent="0.25">
      <c r="B317" s="60">
        <v>47478</v>
      </c>
      <c r="C317" s="61" t="s">
        <v>1</v>
      </c>
      <c r="D317" s="61" t="s">
        <v>92</v>
      </c>
      <c r="E317" s="64"/>
      <c r="F317" s="63" cm="1">
        <f t="array" ref="F317">TerminArtId(tblTermine[[#This Row],[Terminart]], tblTermine[[#This Row],[Agent]])</f>
        <v>32</v>
      </c>
      <c r="G317" s="81" t="str" cm="1">
        <f t="array" ref="G317">TerminArtDisplay(tblTermine[[#This Row],[Terminart]], tblTermine[[#This Row],[Agent]])</f>
        <v>Feiertag</v>
      </c>
      <c r="H317" s="81" t="str" cm="1">
        <f t="array" ref="H317">MakeSearchTerm(tblTermine[[#This Row],[Mitarbeiter]], tblTermine[[#This Row],[Datum]])</f>
        <v>Lehrmann, Marcel - 29-12-26</v>
      </c>
      <c r="I317" s="81">
        <f>YEAR(tblTermine[[#This Row],[Datum]])</f>
        <v>2029</v>
      </c>
    </row>
    <row r="318" spans="2:9" x14ac:dyDescent="0.25">
      <c r="B318" s="60">
        <v>47843</v>
      </c>
      <c r="C318" s="61" t="s">
        <v>1</v>
      </c>
      <c r="D318" s="61" t="s">
        <v>92</v>
      </c>
      <c r="E318" s="64"/>
      <c r="F318" s="63" cm="1">
        <f t="array" ref="F318">TerminArtId(tblTermine[[#This Row],[Terminart]], tblTermine[[#This Row],[Agent]])</f>
        <v>32</v>
      </c>
      <c r="G318" s="81" t="str" cm="1">
        <f t="array" ref="G318">TerminArtDisplay(tblTermine[[#This Row],[Terminart]], tblTermine[[#This Row],[Agent]])</f>
        <v>Feiertag</v>
      </c>
      <c r="H318" s="81" t="str" cm="1">
        <f t="array" ref="H318">MakeSearchTerm(tblTermine[[#This Row],[Mitarbeiter]], tblTermine[[#This Row],[Datum]])</f>
        <v>Lehrmann, Marcel - 30-12-26</v>
      </c>
      <c r="I318" s="81">
        <f>YEAR(tblTermine[[#This Row],[Datum]])</f>
        <v>2030</v>
      </c>
    </row>
    <row r="319" spans="2:9" x14ac:dyDescent="0.25">
      <c r="B319" s="60">
        <v>48208</v>
      </c>
      <c r="C319" s="61" t="s">
        <v>1</v>
      </c>
      <c r="D319" s="61" t="s">
        <v>92</v>
      </c>
      <c r="E319" s="64"/>
      <c r="F319" s="63" cm="1">
        <f t="array" ref="F319">TerminArtId(tblTermine[[#This Row],[Terminart]], tblTermine[[#This Row],[Agent]])</f>
        <v>32</v>
      </c>
      <c r="G319" s="81" t="str" cm="1">
        <f t="array" ref="G319">TerminArtDisplay(tblTermine[[#This Row],[Terminart]], tblTermine[[#This Row],[Agent]])</f>
        <v>Feiertag</v>
      </c>
      <c r="H319" s="81" t="str" cm="1">
        <f t="array" ref="H319">MakeSearchTerm(tblTermine[[#This Row],[Mitarbeiter]], tblTermine[[#This Row],[Datum]])</f>
        <v>Lehrmann, Marcel - 31-12-26</v>
      </c>
      <c r="I319" s="81">
        <f>YEAR(tblTermine[[#This Row],[Datum]])</f>
        <v>2031</v>
      </c>
    </row>
    <row r="320" spans="2:9" x14ac:dyDescent="0.25">
      <c r="B320" s="60">
        <v>46017</v>
      </c>
      <c r="C320" s="61" t="s">
        <v>3</v>
      </c>
      <c r="D320" s="61" t="s">
        <v>92</v>
      </c>
      <c r="E320" s="64"/>
      <c r="F320" s="63" cm="1">
        <f t="array" ref="F320">TerminArtId(tblTermine[[#This Row],[Terminart]], tblTermine[[#This Row],[Agent]])</f>
        <v>32</v>
      </c>
      <c r="G320" s="81" t="str" cm="1">
        <f t="array" ref="G320">TerminArtDisplay(tblTermine[[#This Row],[Terminart]], tblTermine[[#This Row],[Agent]])</f>
        <v>Feiertag</v>
      </c>
      <c r="H320" s="81" t="str" cm="1">
        <f t="array" ref="H320">MakeSearchTerm(tblTermine[[#This Row],[Mitarbeiter]], tblTermine[[#This Row],[Datum]])</f>
        <v>Plottek, André - 25-12-26</v>
      </c>
      <c r="I320" s="81">
        <f>YEAR(tblTermine[[#This Row],[Datum]])</f>
        <v>2025</v>
      </c>
    </row>
    <row r="321" spans="2:9" x14ac:dyDescent="0.25">
      <c r="B321" s="60">
        <v>47113</v>
      </c>
      <c r="C321" s="61" t="s">
        <v>3</v>
      </c>
      <c r="D321" s="61" t="s">
        <v>92</v>
      </c>
      <c r="E321" s="64"/>
      <c r="F321" s="63" cm="1">
        <f t="array" ref="F321">TerminArtId(tblTermine[[#This Row],[Terminart]], tblTermine[[#This Row],[Agent]])</f>
        <v>32</v>
      </c>
      <c r="G321" s="81" t="str" cm="1">
        <f t="array" ref="G321">TerminArtDisplay(tblTermine[[#This Row],[Terminart]], tblTermine[[#This Row],[Agent]])</f>
        <v>Feiertag</v>
      </c>
      <c r="H321" s="81" t="str" cm="1">
        <f t="array" ref="H321">MakeSearchTerm(tblTermine[[#This Row],[Mitarbeiter]], tblTermine[[#This Row],[Datum]])</f>
        <v>Plottek, André - 28-12-26</v>
      </c>
      <c r="I321" s="81">
        <f>YEAR(tblTermine[[#This Row],[Datum]])</f>
        <v>2028</v>
      </c>
    </row>
    <row r="322" spans="2:9" x14ac:dyDescent="0.25">
      <c r="B322" s="60">
        <v>47478</v>
      </c>
      <c r="C322" s="61" t="s">
        <v>3</v>
      </c>
      <c r="D322" s="61" t="s">
        <v>92</v>
      </c>
      <c r="E322" s="64"/>
      <c r="F322" s="63" cm="1">
        <f t="array" ref="F322">TerminArtId(tblTermine[[#This Row],[Terminart]], tblTermine[[#This Row],[Agent]])</f>
        <v>32</v>
      </c>
      <c r="G322" s="81" t="str" cm="1">
        <f t="array" ref="G322">TerminArtDisplay(tblTermine[[#This Row],[Terminart]], tblTermine[[#This Row],[Agent]])</f>
        <v>Feiertag</v>
      </c>
      <c r="H322" s="81" t="str" cm="1">
        <f t="array" ref="H322">MakeSearchTerm(tblTermine[[#This Row],[Mitarbeiter]], tblTermine[[#This Row],[Datum]])</f>
        <v>Plottek, André - 29-12-26</v>
      </c>
      <c r="I322" s="81">
        <f>YEAR(tblTermine[[#This Row],[Datum]])</f>
        <v>2029</v>
      </c>
    </row>
    <row r="323" spans="2:9" x14ac:dyDescent="0.25">
      <c r="B323" s="60">
        <v>47843</v>
      </c>
      <c r="C323" s="61" t="s">
        <v>3</v>
      </c>
      <c r="D323" s="61" t="s">
        <v>92</v>
      </c>
      <c r="E323" s="64"/>
      <c r="F323" s="63" cm="1">
        <f t="array" ref="F323">TerminArtId(tblTermine[[#This Row],[Terminart]], tblTermine[[#This Row],[Agent]])</f>
        <v>32</v>
      </c>
      <c r="G323" s="81" t="str" cm="1">
        <f t="array" ref="G323">TerminArtDisplay(tblTermine[[#This Row],[Terminart]], tblTermine[[#This Row],[Agent]])</f>
        <v>Feiertag</v>
      </c>
      <c r="H323" s="81" t="str" cm="1">
        <f t="array" ref="H323">MakeSearchTerm(tblTermine[[#This Row],[Mitarbeiter]], tblTermine[[#This Row],[Datum]])</f>
        <v>Plottek, André - 30-12-26</v>
      </c>
      <c r="I323" s="81">
        <f>YEAR(tblTermine[[#This Row],[Datum]])</f>
        <v>2030</v>
      </c>
    </row>
    <row r="324" spans="2:9" x14ac:dyDescent="0.25">
      <c r="B324" s="60">
        <v>48208</v>
      </c>
      <c r="C324" s="61" t="s">
        <v>3</v>
      </c>
      <c r="D324" s="61" t="s">
        <v>92</v>
      </c>
      <c r="E324" s="64"/>
      <c r="F324" s="63" cm="1">
        <f t="array" ref="F324">TerminArtId(tblTermine[[#This Row],[Terminart]], tblTermine[[#This Row],[Agent]])</f>
        <v>32</v>
      </c>
      <c r="G324" s="81" t="str" cm="1">
        <f t="array" ref="G324">TerminArtDisplay(tblTermine[[#This Row],[Terminart]], tblTermine[[#This Row],[Agent]])</f>
        <v>Feiertag</v>
      </c>
      <c r="H324" s="81" t="str" cm="1">
        <f t="array" ref="H324">MakeSearchTerm(tblTermine[[#This Row],[Mitarbeiter]], tblTermine[[#This Row],[Datum]])</f>
        <v>Plottek, André - 31-12-26</v>
      </c>
      <c r="I324" s="81">
        <f>YEAR(tblTermine[[#This Row],[Datum]])</f>
        <v>2031</v>
      </c>
    </row>
    <row r="325" spans="2:9" x14ac:dyDescent="0.25">
      <c r="B325" s="60">
        <v>46017</v>
      </c>
      <c r="C325" s="61" t="s">
        <v>4</v>
      </c>
      <c r="D325" s="61" t="s">
        <v>92</v>
      </c>
      <c r="E325" s="64"/>
      <c r="F325" s="63" cm="1">
        <f t="array" ref="F325">TerminArtId(tblTermine[[#This Row],[Terminart]], tblTermine[[#This Row],[Agent]])</f>
        <v>32</v>
      </c>
      <c r="G325" s="81" t="str" cm="1">
        <f t="array" ref="G325">TerminArtDisplay(tblTermine[[#This Row],[Terminart]], tblTermine[[#This Row],[Agent]])</f>
        <v>Feiertag</v>
      </c>
      <c r="H325" s="81" t="str" cm="1">
        <f t="array" ref="H325">MakeSearchTerm(tblTermine[[#This Row],[Mitarbeiter]], tblTermine[[#This Row],[Datum]])</f>
        <v>Schweitzer, Sven - 25-12-26</v>
      </c>
      <c r="I325" s="81">
        <f>YEAR(tblTermine[[#This Row],[Datum]])</f>
        <v>2025</v>
      </c>
    </row>
    <row r="326" spans="2:9" x14ac:dyDescent="0.25">
      <c r="B326" s="60">
        <v>47113</v>
      </c>
      <c r="C326" s="61" t="s">
        <v>4</v>
      </c>
      <c r="D326" s="61" t="s">
        <v>92</v>
      </c>
      <c r="E326" s="64"/>
      <c r="F326" s="63" cm="1">
        <f t="array" ref="F326">TerminArtId(tblTermine[[#This Row],[Terminart]], tblTermine[[#This Row],[Agent]])</f>
        <v>32</v>
      </c>
      <c r="G326" s="81" t="str" cm="1">
        <f t="array" ref="G326">TerminArtDisplay(tblTermine[[#This Row],[Terminart]], tblTermine[[#This Row],[Agent]])</f>
        <v>Feiertag</v>
      </c>
      <c r="H326" s="81" t="str" cm="1">
        <f t="array" ref="H326">MakeSearchTerm(tblTermine[[#This Row],[Mitarbeiter]], tblTermine[[#This Row],[Datum]])</f>
        <v>Schweitzer, Sven - 28-12-26</v>
      </c>
      <c r="I326" s="81">
        <f>YEAR(tblTermine[[#This Row],[Datum]])</f>
        <v>2028</v>
      </c>
    </row>
    <row r="327" spans="2:9" x14ac:dyDescent="0.25">
      <c r="B327" s="60">
        <v>47478</v>
      </c>
      <c r="C327" s="61" t="s">
        <v>4</v>
      </c>
      <c r="D327" s="61" t="s">
        <v>92</v>
      </c>
      <c r="E327" s="64"/>
      <c r="F327" s="63" cm="1">
        <f t="array" ref="F327">TerminArtId(tblTermine[[#This Row],[Terminart]], tblTermine[[#This Row],[Agent]])</f>
        <v>32</v>
      </c>
      <c r="G327" s="81" t="str" cm="1">
        <f t="array" ref="G327">TerminArtDisplay(tblTermine[[#This Row],[Terminart]], tblTermine[[#This Row],[Agent]])</f>
        <v>Feiertag</v>
      </c>
      <c r="H327" s="81" t="str" cm="1">
        <f t="array" ref="H327">MakeSearchTerm(tblTermine[[#This Row],[Mitarbeiter]], tblTermine[[#This Row],[Datum]])</f>
        <v>Schweitzer, Sven - 29-12-26</v>
      </c>
      <c r="I327" s="81">
        <f>YEAR(tblTermine[[#This Row],[Datum]])</f>
        <v>2029</v>
      </c>
    </row>
    <row r="328" spans="2:9" x14ac:dyDescent="0.25">
      <c r="B328" s="60">
        <v>47843</v>
      </c>
      <c r="C328" s="61" t="s">
        <v>4</v>
      </c>
      <c r="D328" s="61" t="s">
        <v>92</v>
      </c>
      <c r="E328" s="64"/>
      <c r="F328" s="63" cm="1">
        <f t="array" ref="F328">TerminArtId(tblTermine[[#This Row],[Terminart]], tblTermine[[#This Row],[Agent]])</f>
        <v>32</v>
      </c>
      <c r="G328" s="81" t="str" cm="1">
        <f t="array" ref="G328">TerminArtDisplay(tblTermine[[#This Row],[Terminart]], tblTermine[[#This Row],[Agent]])</f>
        <v>Feiertag</v>
      </c>
      <c r="H328" s="81" t="str" cm="1">
        <f t="array" ref="H328">MakeSearchTerm(tblTermine[[#This Row],[Mitarbeiter]], tblTermine[[#This Row],[Datum]])</f>
        <v>Schweitzer, Sven - 30-12-26</v>
      </c>
      <c r="I328" s="81">
        <f>YEAR(tblTermine[[#This Row],[Datum]])</f>
        <v>2030</v>
      </c>
    </row>
    <row r="329" spans="2:9" x14ac:dyDescent="0.25">
      <c r="B329" s="60">
        <v>48208</v>
      </c>
      <c r="C329" s="61" t="s">
        <v>4</v>
      </c>
      <c r="D329" s="61" t="s">
        <v>92</v>
      </c>
      <c r="E329" s="64"/>
      <c r="F329" s="63" cm="1">
        <f t="array" ref="F329">TerminArtId(tblTermine[[#This Row],[Terminart]], tblTermine[[#This Row],[Agent]])</f>
        <v>32</v>
      </c>
      <c r="G329" s="81" t="str" cm="1">
        <f t="array" ref="G329">TerminArtDisplay(tblTermine[[#This Row],[Terminart]], tblTermine[[#This Row],[Agent]])</f>
        <v>Feiertag</v>
      </c>
      <c r="H329" s="81" t="str" cm="1">
        <f t="array" ref="H329">MakeSearchTerm(tblTermine[[#This Row],[Mitarbeiter]], tblTermine[[#This Row],[Datum]])</f>
        <v>Schweitzer, Sven - 31-12-26</v>
      </c>
      <c r="I329" s="81">
        <f>YEAR(tblTermine[[#This Row],[Datum]])</f>
        <v>2031</v>
      </c>
    </row>
    <row r="330" spans="2:9" x14ac:dyDescent="0.25">
      <c r="B330" s="60">
        <v>46017</v>
      </c>
      <c r="C330" s="61" t="s">
        <v>6</v>
      </c>
      <c r="D330" s="61" t="s">
        <v>92</v>
      </c>
      <c r="E330" s="64"/>
      <c r="F330" s="63" cm="1">
        <f t="array" ref="F330">TerminArtId(tblTermine[[#This Row],[Terminart]], tblTermine[[#This Row],[Agent]])</f>
        <v>32</v>
      </c>
      <c r="G330" s="81" t="str" cm="1">
        <f t="array" ref="G330">TerminArtDisplay(tblTermine[[#This Row],[Terminart]], tblTermine[[#This Row],[Agent]])</f>
        <v>Feiertag</v>
      </c>
      <c r="H330" s="81" t="str" cm="1">
        <f t="array" ref="H330">MakeSearchTerm(tblTermine[[#This Row],[Mitarbeiter]], tblTermine[[#This Row],[Datum]])</f>
        <v>Weber, Joelle - 25-12-26</v>
      </c>
      <c r="I330" s="81">
        <f>YEAR(tblTermine[[#This Row],[Datum]])</f>
        <v>2025</v>
      </c>
    </row>
    <row r="331" spans="2:9" x14ac:dyDescent="0.25">
      <c r="B331" s="60">
        <v>47113</v>
      </c>
      <c r="C331" s="61" t="s">
        <v>6</v>
      </c>
      <c r="D331" s="61" t="s">
        <v>92</v>
      </c>
      <c r="E331" s="64"/>
      <c r="F331" s="63" cm="1">
        <f t="array" ref="F331">TerminArtId(tblTermine[[#This Row],[Terminart]], tblTermine[[#This Row],[Agent]])</f>
        <v>32</v>
      </c>
      <c r="G331" s="81" t="str" cm="1">
        <f t="array" ref="G331">TerminArtDisplay(tblTermine[[#This Row],[Terminart]], tblTermine[[#This Row],[Agent]])</f>
        <v>Feiertag</v>
      </c>
      <c r="H331" s="81" t="str" cm="1">
        <f t="array" ref="H331">MakeSearchTerm(tblTermine[[#This Row],[Mitarbeiter]], tblTermine[[#This Row],[Datum]])</f>
        <v>Weber, Joelle - 28-12-26</v>
      </c>
      <c r="I331" s="81">
        <f>YEAR(tblTermine[[#This Row],[Datum]])</f>
        <v>2028</v>
      </c>
    </row>
    <row r="332" spans="2:9" x14ac:dyDescent="0.25">
      <c r="B332" s="60">
        <v>47478</v>
      </c>
      <c r="C332" s="61" t="s">
        <v>6</v>
      </c>
      <c r="D332" s="61" t="s">
        <v>92</v>
      </c>
      <c r="E332" s="64"/>
      <c r="F332" s="63" cm="1">
        <f t="array" ref="F332">TerminArtId(tblTermine[[#This Row],[Terminart]], tblTermine[[#This Row],[Agent]])</f>
        <v>32</v>
      </c>
      <c r="G332" s="81" t="str" cm="1">
        <f t="array" ref="G332">TerminArtDisplay(tblTermine[[#This Row],[Terminart]], tblTermine[[#This Row],[Agent]])</f>
        <v>Feiertag</v>
      </c>
      <c r="H332" s="81" t="str" cm="1">
        <f t="array" ref="H332">MakeSearchTerm(tblTermine[[#This Row],[Mitarbeiter]], tblTermine[[#This Row],[Datum]])</f>
        <v>Weber, Joelle - 29-12-26</v>
      </c>
      <c r="I332" s="81">
        <f>YEAR(tblTermine[[#This Row],[Datum]])</f>
        <v>2029</v>
      </c>
    </row>
    <row r="333" spans="2:9" x14ac:dyDescent="0.25">
      <c r="B333" s="60">
        <v>47843</v>
      </c>
      <c r="C333" s="61" t="s">
        <v>6</v>
      </c>
      <c r="D333" s="61" t="s">
        <v>92</v>
      </c>
      <c r="E333" s="64"/>
      <c r="F333" s="63" cm="1">
        <f t="array" ref="F333">TerminArtId(tblTermine[[#This Row],[Terminart]], tblTermine[[#This Row],[Agent]])</f>
        <v>32</v>
      </c>
      <c r="G333" s="81" t="str" cm="1">
        <f t="array" ref="G333">TerminArtDisplay(tblTermine[[#This Row],[Terminart]], tblTermine[[#This Row],[Agent]])</f>
        <v>Feiertag</v>
      </c>
      <c r="H333" s="81" t="str" cm="1">
        <f t="array" ref="H333">MakeSearchTerm(tblTermine[[#This Row],[Mitarbeiter]], tblTermine[[#This Row],[Datum]])</f>
        <v>Weber, Joelle - 30-12-26</v>
      </c>
      <c r="I333" s="81">
        <f>YEAR(tblTermine[[#This Row],[Datum]])</f>
        <v>2030</v>
      </c>
    </row>
    <row r="334" spans="2:9" x14ac:dyDescent="0.25">
      <c r="B334" s="60">
        <v>48208</v>
      </c>
      <c r="C334" s="61" t="s">
        <v>6</v>
      </c>
      <c r="D334" s="61" t="s">
        <v>92</v>
      </c>
      <c r="E334" s="64"/>
      <c r="F334" s="63" cm="1">
        <f t="array" ref="F334">TerminArtId(tblTermine[[#This Row],[Terminart]], tblTermine[[#This Row],[Agent]])</f>
        <v>32</v>
      </c>
      <c r="G334" s="81" t="str" cm="1">
        <f t="array" ref="G334">TerminArtDisplay(tblTermine[[#This Row],[Terminart]], tblTermine[[#This Row],[Agent]])</f>
        <v>Feiertag</v>
      </c>
      <c r="H334" s="81" t="str" cm="1">
        <f t="array" ref="H334">MakeSearchTerm(tblTermine[[#This Row],[Mitarbeiter]], tblTermine[[#This Row],[Datum]])</f>
        <v>Weber, Joelle - 31-12-26</v>
      </c>
      <c r="I334" s="81">
        <f>YEAR(tblTermine[[#This Row],[Datum]])</f>
        <v>2031</v>
      </c>
    </row>
  </sheetData>
  <dataValidations count="2">
    <dataValidation type="list" allowBlank="1" showInputMessage="1" showErrorMessage="1" sqref="C3:C334" xr:uid="{A78C2989-45B6-4518-8637-18E5FBA360F8}">
      <formula1>VBNames</formula1>
    </dataValidation>
    <dataValidation type="list" allowBlank="1" showInputMessage="1" showErrorMessage="1" sqref="D3:D334" xr:uid="{A9BDA151-4011-47DE-9CEC-F74F1B542292}">
      <formula1>TerminArten</formula1>
    </dataValidation>
  </dataValidations>
  <pageMargins left="0.7" right="0.7" top="0.78740157499999996" bottom="0.78740157499999996" header="0.3" footer="0.3"/>
  <pageSetup paperSize="9" orientation="portrait" horizontalDpi="4294967293"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7F590-70F4-4321-A6C1-BC04016A0C68}">
  <sheetPr codeName="shhAngebote"/>
  <dimension ref="B1:L19"/>
  <sheetViews>
    <sheetView workbookViewId="0">
      <selection activeCell="D3" sqref="D3"/>
    </sheetView>
  </sheetViews>
  <sheetFormatPr baseColWidth="10" defaultColWidth="16.75" defaultRowHeight="15" x14ac:dyDescent="0.25"/>
  <cols>
    <col min="1" max="1" width="1.625" style="1" customWidth="1"/>
    <col min="2" max="2" width="11.5" style="1" customWidth="1"/>
    <col min="3" max="3" width="16.25" style="1" customWidth="1"/>
    <col min="4" max="4" width="16.75" style="1"/>
    <col min="5" max="5" width="11.625" style="1" customWidth="1"/>
    <col min="6" max="6" width="42.875" style="1" hidden="1" customWidth="1"/>
    <col min="7" max="7" width="7.125" style="1" customWidth="1"/>
    <col min="8" max="8" width="20.125" style="1" bestFit="1" customWidth="1"/>
    <col min="9" max="12" width="9.375" style="1" customWidth="1"/>
    <col min="13" max="16384" width="16.75" style="1"/>
  </cols>
  <sheetData>
    <row r="1" spans="2:12" s="56" customFormat="1" ht="39" customHeight="1" x14ac:dyDescent="0.25">
      <c r="B1" s="56" t="s">
        <v>118</v>
      </c>
    </row>
    <row r="2" spans="2:12" x14ac:dyDescent="0.25">
      <c r="B2" s="1" t="s">
        <v>7</v>
      </c>
      <c r="C2" s="1" t="s">
        <v>0</v>
      </c>
      <c r="D2" s="1" t="s">
        <v>119</v>
      </c>
      <c r="E2" s="1" t="s">
        <v>8</v>
      </c>
      <c r="F2" s="1" t="s">
        <v>133</v>
      </c>
      <c r="H2" s="77" t="s">
        <v>135</v>
      </c>
      <c r="I2" s="77" t="s">
        <v>134</v>
      </c>
      <c r="J2"/>
      <c r="K2"/>
      <c r="L2"/>
    </row>
    <row r="3" spans="2:12" x14ac:dyDescent="0.25">
      <c r="B3" s="55">
        <v>46132</v>
      </c>
      <c r="C3" s="1" t="s">
        <v>1</v>
      </c>
      <c r="D3" s="1" t="s">
        <v>121</v>
      </c>
      <c r="E3" s="1" t="s">
        <v>128</v>
      </c>
      <c r="F3" s="79" t="str">
        <f>tblAngebote[[#This Row],[Mitarbeiter]]&amp;";"&amp;tblAngebote[[#This Row],[Art]]&amp;";"&amp;TEXT(tblAngebote[[#This Row],[Datum]],"JJ-MM-TT")&amp;";"&amp;tblAngebote[[#This Row],[Kunde]]</f>
        <v>Lehrmann, Marcel;Festnetz;26-04-20;Testkunde 1</v>
      </c>
      <c r="H3" s="77" t="s">
        <v>0</v>
      </c>
      <c r="I3" t="s">
        <v>116</v>
      </c>
      <c r="J3" t="s">
        <v>128</v>
      </c>
      <c r="K3" t="s">
        <v>115</v>
      </c>
      <c r="L3" t="s">
        <v>136</v>
      </c>
    </row>
    <row r="4" spans="2:12" x14ac:dyDescent="0.25">
      <c r="B4" s="55">
        <v>46133</v>
      </c>
      <c r="C4" s="1" t="s">
        <v>1</v>
      </c>
      <c r="D4" s="1" t="s">
        <v>122</v>
      </c>
      <c r="E4" s="1" t="s">
        <v>115</v>
      </c>
      <c r="F4" s="79" t="str">
        <f>tblAngebote[[#This Row],[Mitarbeiter]]&amp;";"&amp;tblAngebote[[#This Row],[Art]]&amp;";"&amp;TEXT(tblAngebote[[#This Row],[Datum]],"JJ-MM-TT")&amp;";"&amp;tblAngebote[[#This Row],[Kunde]]</f>
        <v>Lehrmann, Marcel;Mobilfunk;26-04-21;Meier</v>
      </c>
      <c r="H4" s="7" t="s">
        <v>1</v>
      </c>
      <c r="I4" s="80"/>
      <c r="J4" s="80">
        <v>5</v>
      </c>
      <c r="K4" s="80">
        <v>4</v>
      </c>
      <c r="L4" s="80">
        <v>9</v>
      </c>
    </row>
    <row r="5" spans="2:12" x14ac:dyDescent="0.25">
      <c r="B5" s="55">
        <v>46134</v>
      </c>
      <c r="C5" s="1" t="s">
        <v>3</v>
      </c>
      <c r="D5" s="1" t="s">
        <v>123</v>
      </c>
      <c r="E5" s="1" t="s">
        <v>128</v>
      </c>
      <c r="F5" s="79" t="str">
        <f>tblAngebote[[#This Row],[Mitarbeiter]]&amp;";"&amp;tblAngebote[[#This Row],[Art]]&amp;";"&amp;TEXT(tblAngebote[[#This Row],[Datum]],"JJ-MM-TT")&amp;";"&amp;tblAngebote[[#This Row],[Kunde]]</f>
        <v>Plottek, André;Festnetz;26-04-22;Kunze</v>
      </c>
      <c r="H5" s="78" t="s">
        <v>131</v>
      </c>
      <c r="I5" s="80"/>
      <c r="J5" s="80">
        <v>4</v>
      </c>
      <c r="K5" s="80">
        <v>4</v>
      </c>
      <c r="L5" s="80">
        <v>8</v>
      </c>
    </row>
    <row r="6" spans="2:12" x14ac:dyDescent="0.25">
      <c r="B6" s="55">
        <v>46135</v>
      </c>
      <c r="C6" s="1" t="s">
        <v>1</v>
      </c>
      <c r="D6" s="1" t="s">
        <v>124</v>
      </c>
      <c r="E6" s="1" t="s">
        <v>128</v>
      </c>
      <c r="F6" s="79" t="str">
        <f>tblAngebote[[#This Row],[Mitarbeiter]]&amp;";"&amp;tblAngebote[[#This Row],[Art]]&amp;";"&amp;TEXT(tblAngebote[[#This Row],[Datum]],"JJ-MM-TT")&amp;";"&amp;tblAngebote[[#This Row],[Kunde]]</f>
        <v>Lehrmann, Marcel;Festnetz;26-04-23;Testkunde 2</v>
      </c>
      <c r="H6" s="78" t="s">
        <v>132</v>
      </c>
      <c r="I6" s="80"/>
      <c r="J6" s="80">
        <v>1</v>
      </c>
      <c r="K6" s="80"/>
      <c r="L6" s="80">
        <v>1</v>
      </c>
    </row>
    <row r="7" spans="2:12" x14ac:dyDescent="0.25">
      <c r="B7" s="55">
        <v>46136</v>
      </c>
      <c r="C7" s="1" t="s">
        <v>1</v>
      </c>
      <c r="D7" s="1" t="s">
        <v>122</v>
      </c>
      <c r="E7" s="1" t="s">
        <v>115</v>
      </c>
      <c r="F7" s="79" t="str">
        <f>tblAngebote[[#This Row],[Mitarbeiter]]&amp;";"&amp;tblAngebote[[#This Row],[Art]]&amp;";"&amp;TEXT(tblAngebote[[#This Row],[Datum]],"JJ-MM-TT")&amp;";"&amp;tblAngebote[[#This Row],[Kunde]]</f>
        <v>Lehrmann, Marcel;Mobilfunk;26-04-24;Meier</v>
      </c>
      <c r="H7" s="7" t="s">
        <v>3</v>
      </c>
      <c r="I7" s="80">
        <v>1</v>
      </c>
      <c r="J7" s="80">
        <v>2</v>
      </c>
      <c r="K7" s="80">
        <v>1</v>
      </c>
      <c r="L7" s="80">
        <v>4</v>
      </c>
    </row>
    <row r="8" spans="2:12" x14ac:dyDescent="0.25">
      <c r="B8" s="55">
        <v>46137</v>
      </c>
      <c r="C8" s="1" t="s">
        <v>3</v>
      </c>
      <c r="D8" s="1" t="s">
        <v>123</v>
      </c>
      <c r="E8" s="1" t="s">
        <v>115</v>
      </c>
      <c r="F8" s="79" t="str">
        <f>tblAngebote[[#This Row],[Mitarbeiter]]&amp;";"&amp;tblAngebote[[#This Row],[Art]]&amp;";"&amp;TEXT(tblAngebote[[#This Row],[Datum]],"JJ-MM-TT")&amp;";"&amp;tblAngebote[[#This Row],[Kunde]]</f>
        <v>Plottek, André;Mobilfunk;26-04-25;Kunze</v>
      </c>
      <c r="H8" s="78" t="s">
        <v>131</v>
      </c>
      <c r="I8" s="80"/>
      <c r="J8" s="80">
        <v>2</v>
      </c>
      <c r="K8" s="80">
        <v>1</v>
      </c>
      <c r="L8" s="80">
        <v>3</v>
      </c>
    </row>
    <row r="9" spans="2:12" x14ac:dyDescent="0.25">
      <c r="B9" s="55">
        <v>46138</v>
      </c>
      <c r="C9" s="1" t="s">
        <v>1</v>
      </c>
      <c r="D9" s="1" t="s">
        <v>125</v>
      </c>
      <c r="E9" s="1" t="s">
        <v>128</v>
      </c>
      <c r="F9" s="79" t="str">
        <f>tblAngebote[[#This Row],[Mitarbeiter]]&amp;";"&amp;tblAngebote[[#This Row],[Art]]&amp;";"&amp;TEXT(tblAngebote[[#This Row],[Datum]],"JJ-MM-TT")&amp;";"&amp;tblAngebote[[#This Row],[Kunde]]</f>
        <v>Lehrmann, Marcel;Festnetz;26-04-26;Testkunde 3</v>
      </c>
      <c r="H9" s="78" t="s">
        <v>132</v>
      </c>
      <c r="I9" s="80">
        <v>1</v>
      </c>
      <c r="J9" s="80"/>
      <c r="K9" s="80"/>
      <c r="L9" s="80">
        <v>1</v>
      </c>
    </row>
    <row r="10" spans="2:12" x14ac:dyDescent="0.25">
      <c r="B10" s="55">
        <v>46139</v>
      </c>
      <c r="C10" s="1" t="s">
        <v>1</v>
      </c>
      <c r="D10" s="1" t="s">
        <v>122</v>
      </c>
      <c r="E10" s="1" t="s">
        <v>115</v>
      </c>
      <c r="F10" s="79" t="str">
        <f>tblAngebote[[#This Row],[Mitarbeiter]]&amp;";"&amp;tblAngebote[[#This Row],[Art]]&amp;";"&amp;TEXT(tblAngebote[[#This Row],[Datum]],"JJ-MM-TT")&amp;";"&amp;tblAngebote[[#This Row],[Kunde]]</f>
        <v>Lehrmann, Marcel;Mobilfunk;26-04-27;Meier</v>
      </c>
      <c r="H10" s="7" t="s">
        <v>136</v>
      </c>
      <c r="I10" s="80">
        <v>1</v>
      </c>
      <c r="J10" s="80">
        <v>7</v>
      </c>
      <c r="K10" s="80">
        <v>5</v>
      </c>
      <c r="L10" s="80">
        <v>13</v>
      </c>
    </row>
    <row r="11" spans="2:12" x14ac:dyDescent="0.25">
      <c r="B11" s="55">
        <v>46140</v>
      </c>
      <c r="C11" s="1" t="s">
        <v>3</v>
      </c>
      <c r="D11" s="1" t="s">
        <v>123</v>
      </c>
      <c r="E11" s="1" t="s">
        <v>128</v>
      </c>
      <c r="F11" s="79" t="str">
        <f>tblAngebote[[#This Row],[Mitarbeiter]]&amp;";"&amp;tblAngebote[[#This Row],[Art]]&amp;";"&amp;TEXT(tblAngebote[[#This Row],[Datum]],"JJ-MM-TT")&amp;";"&amp;tblAngebote[[#This Row],[Kunde]]</f>
        <v>Plottek, André;Festnetz;26-04-28;Kunze</v>
      </c>
      <c r="H11"/>
      <c r="I11"/>
      <c r="J11"/>
    </row>
    <row r="12" spans="2:12" x14ac:dyDescent="0.25">
      <c r="B12" s="55">
        <v>46141</v>
      </c>
      <c r="C12" s="1" t="s">
        <v>1</v>
      </c>
      <c r="D12" s="1" t="s">
        <v>126</v>
      </c>
      <c r="E12" s="1" t="s">
        <v>128</v>
      </c>
      <c r="F12" s="79" t="str">
        <f>tblAngebote[[#This Row],[Mitarbeiter]]&amp;";"&amp;tblAngebote[[#This Row],[Art]]&amp;";"&amp;TEXT(tblAngebote[[#This Row],[Datum]],"JJ-MM-TT")&amp;";"&amp;tblAngebote[[#This Row],[Kunde]]</f>
        <v>Lehrmann, Marcel;Festnetz;26-04-29;Testkunde 4</v>
      </c>
      <c r="H12"/>
      <c r="I12"/>
      <c r="J12"/>
    </row>
    <row r="13" spans="2:12" x14ac:dyDescent="0.25">
      <c r="B13" s="55">
        <v>46142</v>
      </c>
      <c r="C13" s="1" t="s">
        <v>1</v>
      </c>
      <c r="D13" s="1" t="s">
        <v>122</v>
      </c>
      <c r="E13" s="1" t="s">
        <v>115</v>
      </c>
      <c r="F13" s="79" t="str">
        <f>tblAngebote[[#This Row],[Mitarbeiter]]&amp;";"&amp;tblAngebote[[#This Row],[Art]]&amp;";"&amp;TEXT(tblAngebote[[#This Row],[Datum]],"JJ-MM-TT")&amp;";"&amp;tblAngebote[[#This Row],[Kunde]]</f>
        <v>Lehrmann, Marcel;Mobilfunk;26-04-30;Meier</v>
      </c>
      <c r="H13"/>
      <c r="I13"/>
      <c r="J13"/>
    </row>
    <row r="14" spans="2:12" x14ac:dyDescent="0.25">
      <c r="B14" s="55">
        <v>46143</v>
      </c>
      <c r="C14" s="1" t="s">
        <v>3</v>
      </c>
      <c r="D14" s="1" t="s">
        <v>123</v>
      </c>
      <c r="E14" s="1" t="s">
        <v>116</v>
      </c>
      <c r="F14" s="79" t="str">
        <f>tblAngebote[[#This Row],[Mitarbeiter]]&amp;";"&amp;tblAngebote[[#This Row],[Art]]&amp;";"&amp;TEXT(tblAngebote[[#This Row],[Datum]],"JJ-MM-TT")&amp;";"&amp;tblAngebote[[#This Row],[Kunde]]</f>
        <v>Plottek, André;Daten;26-05-01;Kunze</v>
      </c>
      <c r="H14"/>
      <c r="I14"/>
      <c r="J14"/>
    </row>
    <row r="15" spans="2:12" x14ac:dyDescent="0.25">
      <c r="B15" s="55">
        <v>46144</v>
      </c>
      <c r="C15" s="1" t="s">
        <v>1</v>
      </c>
      <c r="D15" s="1" t="s">
        <v>127</v>
      </c>
      <c r="E15" s="1" t="s">
        <v>128</v>
      </c>
      <c r="F15" s="79" t="str">
        <f>tblAngebote[[#This Row],[Mitarbeiter]]&amp;";"&amp;tblAngebote[[#This Row],[Art]]&amp;";"&amp;TEXT(tblAngebote[[#This Row],[Datum]],"JJ-MM-TT")&amp;";"&amp;tblAngebote[[#This Row],[Kunde]]</f>
        <v>Lehrmann, Marcel;Festnetz;26-05-02;Testkunde 5</v>
      </c>
      <c r="H15"/>
      <c r="I15"/>
      <c r="J15"/>
    </row>
    <row r="16" spans="2:12" x14ac:dyDescent="0.25">
      <c r="H16"/>
      <c r="I16"/>
      <c r="J16"/>
    </row>
    <row r="17" spans="8:10" x14ac:dyDescent="0.25">
      <c r="H17"/>
      <c r="I17"/>
      <c r="J17"/>
    </row>
    <row r="18" spans="8:10" x14ac:dyDescent="0.25">
      <c r="H18"/>
      <c r="I18"/>
      <c r="J18"/>
    </row>
    <row r="19" spans="8:10" x14ac:dyDescent="0.25">
      <c r="H19"/>
      <c r="I19"/>
      <c r="J19"/>
    </row>
  </sheetData>
  <phoneticPr fontId="15" type="noConversion"/>
  <dataValidations count="2">
    <dataValidation type="list" allowBlank="1" showInputMessage="1" showErrorMessage="1" sqref="C3:C15" xr:uid="{BCEBEF13-E696-4C7A-A65B-44F9639EBA59}">
      <formula1>VBNames</formula1>
    </dataValidation>
    <dataValidation type="list" allowBlank="1" showInputMessage="1" showErrorMessage="1" sqref="E3:E15" xr:uid="{F008B7D7-F74A-4106-A7D1-F7BA81688B1A}">
      <formula1>AngebotArt</formula1>
    </dataValidation>
  </dataValidations>
  <pageMargins left="0.7" right="0.7" top="0.78740157499999996" bottom="0.78740157499999996"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EF049-9A0E-4CA3-A193-7FCE3C549EFB}">
  <sheetPr codeName="shEinstellungen"/>
  <dimension ref="A1:Y42"/>
  <sheetViews>
    <sheetView showGridLines="0" workbookViewId="0">
      <pane ySplit="1" topLeftCell="A2" activePane="bottomLeft" state="frozen"/>
      <selection pane="bottomLeft" activeCell="Y3" sqref="Y3:Y7"/>
    </sheetView>
  </sheetViews>
  <sheetFormatPr baseColWidth="10" defaultColWidth="11" defaultRowHeight="15" x14ac:dyDescent="0.25"/>
  <cols>
    <col min="1" max="1" width="21.875" customWidth="1"/>
    <col min="2" max="2" width="11.625" style="9" customWidth="1"/>
    <col min="3" max="10" width="13.625" customWidth="1"/>
    <col min="11" max="11" width="2.375" customWidth="1"/>
    <col min="12" max="12" width="8.125" bestFit="1" customWidth="1"/>
    <col min="13" max="13" width="15.75" bestFit="1" customWidth="1"/>
    <col min="14" max="14" width="2.75" customWidth="1"/>
    <col min="15" max="15" width="15.25" bestFit="1" customWidth="1"/>
    <col min="16" max="16" width="6.875" bestFit="1" customWidth="1"/>
    <col min="17" max="17" width="12.375" bestFit="1" customWidth="1"/>
    <col min="18" max="18" width="1.75" customWidth="1"/>
    <col min="19" max="19" width="1.125" customWidth="1"/>
    <col min="20" max="20" width="21.875" bestFit="1" customWidth="1"/>
    <col min="21" max="21" width="8.5" bestFit="1" customWidth="1"/>
    <col min="22" max="22" width="2.125" customWidth="1"/>
    <col min="23" max="23" width="14.75" bestFit="1" customWidth="1"/>
    <col min="24" max="24" width="3.625" customWidth="1"/>
    <col min="25" max="25" width="13.75" bestFit="1" customWidth="1"/>
  </cols>
  <sheetData>
    <row r="1" spans="1:25" s="2" customFormat="1" ht="36" customHeight="1" x14ac:dyDescent="0.25">
      <c r="A1" s="3" t="s">
        <v>10</v>
      </c>
      <c r="B1" s="12"/>
      <c r="C1" s="11"/>
      <c r="D1" s="11"/>
      <c r="E1" s="11"/>
      <c r="F1" s="11"/>
      <c r="G1" s="11"/>
      <c r="H1" s="11"/>
      <c r="I1" s="11"/>
      <c r="J1" s="11"/>
      <c r="K1" s="11"/>
      <c r="L1" s="11"/>
      <c r="M1" s="11"/>
      <c r="N1" s="11"/>
      <c r="P1" s="3"/>
      <c r="Q1" s="3"/>
      <c r="T1" s="11"/>
      <c r="U1" s="11"/>
    </row>
    <row r="2" spans="1:25" s="5" customFormat="1" ht="39.950000000000003" customHeight="1" x14ac:dyDescent="0.25">
      <c r="A2" s="6" t="s">
        <v>19</v>
      </c>
      <c r="B2" s="6" t="s">
        <v>20</v>
      </c>
      <c r="C2" s="6" t="s">
        <v>21</v>
      </c>
      <c r="D2" s="6" t="s">
        <v>22</v>
      </c>
      <c r="E2" s="6" t="s">
        <v>23</v>
      </c>
      <c r="F2" s="6" t="s">
        <v>24</v>
      </c>
      <c r="G2" s="6" t="s">
        <v>25</v>
      </c>
      <c r="H2" s="6" t="s">
        <v>26</v>
      </c>
      <c r="I2" s="6" t="s">
        <v>112</v>
      </c>
      <c r="J2" s="6" t="s">
        <v>113</v>
      </c>
      <c r="K2" s="6"/>
      <c r="L2" s="6" t="s">
        <v>9</v>
      </c>
      <c r="M2" s="6" t="s">
        <v>34</v>
      </c>
      <c r="N2" s="6"/>
      <c r="O2" s="5" t="s">
        <v>0</v>
      </c>
      <c r="P2" s="5" t="s">
        <v>11</v>
      </c>
      <c r="Q2" s="5" t="s">
        <v>20</v>
      </c>
      <c r="T2" s="6" t="s">
        <v>20</v>
      </c>
      <c r="U2" s="6" t="s">
        <v>27</v>
      </c>
      <c r="W2" s="6" t="s">
        <v>79</v>
      </c>
      <c r="X2" s="6"/>
      <c r="Y2" s="5" t="s">
        <v>120</v>
      </c>
    </row>
    <row r="3" spans="1:25" s="4" customFormat="1" x14ac:dyDescent="0.25">
      <c r="A3" t="s">
        <v>28</v>
      </c>
      <c r="B3" s="7" t="s">
        <v>29</v>
      </c>
      <c r="C3" s="42">
        <f>DATE(tblFeiertage[[#Headers],[2025]],1,1)</f>
        <v>45658</v>
      </c>
      <c r="D3" s="42">
        <f>DATE(tblFeiertage[[#Headers],[2026]],1,1)</f>
        <v>46023</v>
      </c>
      <c r="E3" s="42">
        <f>DATE(tblFeiertage[[#Headers],[2027]],1,1)</f>
        <v>46388</v>
      </c>
      <c r="F3" s="42">
        <f>DATE(tblFeiertage[[#Headers],[2028]],1,1)</f>
        <v>46753</v>
      </c>
      <c r="G3" s="42">
        <f>DATE(tblFeiertage[[#Headers],[2029]],1,1)</f>
        <v>47119</v>
      </c>
      <c r="H3" s="42">
        <f>DATE(tblFeiertage[[#Headers],[2030]],1,1)</f>
        <v>47484</v>
      </c>
      <c r="I3" s="42">
        <f>DATE(tblFeiertage[[#Headers],[2031]],1,1)</f>
        <v>47849</v>
      </c>
      <c r="J3" s="42">
        <f>DATE(tblFeiertage[[#Headers],[2032]],1,1)</f>
        <v>48214</v>
      </c>
      <c r="K3" s="42"/>
      <c r="L3" s="51">
        <v>2025</v>
      </c>
      <c r="M3" s="52" cm="1">
        <f t="array" ref="M3">Ostersonntag(tblOstern[[#This Row],[Jahr]])</f>
        <v>45767</v>
      </c>
      <c r="N3"/>
      <c r="O3" s="4" t="s">
        <v>12</v>
      </c>
      <c r="P3" s="8" t="b">
        <v>0</v>
      </c>
      <c r="Q3" s="6" t="s">
        <v>29</v>
      </c>
      <c r="T3" t="s">
        <v>30</v>
      </c>
      <c r="U3" t="s">
        <v>29</v>
      </c>
      <c r="W3" t="s">
        <v>16</v>
      </c>
      <c r="X3"/>
      <c r="Y3" s="4" t="s">
        <v>115</v>
      </c>
    </row>
    <row r="4" spans="1:25" s="4" customFormat="1" x14ac:dyDescent="0.25">
      <c r="A4" t="s">
        <v>56</v>
      </c>
      <c r="B4" s="10" t="s">
        <v>33</v>
      </c>
      <c r="C4" s="42">
        <f>DATE(tblFeiertage[[#Headers],[2025]],1,6)</f>
        <v>45663</v>
      </c>
      <c r="D4" s="42">
        <f>DATE(tblFeiertage[[#Headers],[2026]],1,6)</f>
        <v>46028</v>
      </c>
      <c r="E4" s="42">
        <f>DATE(tblFeiertage[[#Headers],[2027]],1,6)</f>
        <v>46393</v>
      </c>
      <c r="F4" s="42">
        <f>DATE(tblFeiertage[[#Headers],[2028]],1,6)</f>
        <v>46758</v>
      </c>
      <c r="G4" s="42">
        <f>DATE(tblFeiertage[[#Headers],[2029]],1,6)</f>
        <v>47124</v>
      </c>
      <c r="H4" s="42">
        <f>DATE(tblFeiertage[[#Headers],[2030]],1,6)</f>
        <v>47489</v>
      </c>
      <c r="I4" s="42">
        <f>DATE(tblFeiertage[[#Headers],[2031]],1,6)</f>
        <v>47854</v>
      </c>
      <c r="J4" s="42">
        <f>DATE(tblFeiertage[[#Headers],[2032]],1,6)</f>
        <v>48219</v>
      </c>
      <c r="K4" s="42"/>
      <c r="L4" s="51">
        <v>2026</v>
      </c>
      <c r="M4" s="52" cm="1">
        <f t="array" ref="M4">Ostersonntag(tblOstern[[#This Row],[Jahr]])</f>
        <v>46117</v>
      </c>
      <c r="N4"/>
      <c r="O4" s="4" t="s">
        <v>1</v>
      </c>
      <c r="P4" s="8" t="b">
        <v>1</v>
      </c>
      <c r="Q4" s="6" t="s">
        <v>44</v>
      </c>
      <c r="T4" t="s">
        <v>32</v>
      </c>
      <c r="U4" t="s">
        <v>33</v>
      </c>
      <c r="W4" t="s">
        <v>17</v>
      </c>
      <c r="X4"/>
      <c r="Y4" s="4" t="s">
        <v>116</v>
      </c>
    </row>
    <row r="5" spans="1:25" s="4" customFormat="1" x14ac:dyDescent="0.25">
      <c r="A5" t="s">
        <v>56</v>
      </c>
      <c r="B5" s="10" t="s">
        <v>36</v>
      </c>
      <c r="C5" s="42">
        <f>DATE(tblFeiertage[[#Headers],[2025]],1,6)</f>
        <v>45663</v>
      </c>
      <c r="D5" s="42">
        <f>DATE(tblFeiertage[[#Headers],[2026]],1,6)</f>
        <v>46028</v>
      </c>
      <c r="E5" s="42">
        <f>DATE(tblFeiertage[[#Headers],[2027]],1,6)</f>
        <v>46393</v>
      </c>
      <c r="F5" s="42">
        <f>DATE(tblFeiertage[[#Headers],[2028]],1,6)</f>
        <v>46758</v>
      </c>
      <c r="G5" s="42">
        <f>DATE(tblFeiertage[[#Headers],[2029]],1,6)</f>
        <v>47124</v>
      </c>
      <c r="H5" s="42">
        <f>DATE(tblFeiertage[[#Headers],[2030]],1,6)</f>
        <v>47489</v>
      </c>
      <c r="I5" s="42">
        <f>DATE(tblFeiertage[[#Headers],[2031]],1,6)</f>
        <v>47854</v>
      </c>
      <c r="J5" s="42">
        <f>DATE(tblFeiertage[[#Headers],[2032]],1,6)</f>
        <v>48219</v>
      </c>
      <c r="K5" s="42"/>
      <c r="L5" s="51">
        <v>2027</v>
      </c>
      <c r="M5" s="52" cm="1">
        <f t="array" ref="M5">Ostersonntag(tblOstern[[#This Row],[Jahr]])</f>
        <v>46474</v>
      </c>
      <c r="N5"/>
      <c r="O5" s="4" t="s">
        <v>13</v>
      </c>
      <c r="P5" s="8" t="b">
        <v>0</v>
      </c>
      <c r="Q5" s="6" t="s">
        <v>55</v>
      </c>
      <c r="T5" t="s">
        <v>35</v>
      </c>
      <c r="U5" t="s">
        <v>36</v>
      </c>
      <c r="W5" t="s">
        <v>18</v>
      </c>
      <c r="X5"/>
      <c r="Y5" s="4" t="s">
        <v>128</v>
      </c>
    </row>
    <row r="6" spans="1:25" s="4" customFormat="1" x14ac:dyDescent="0.25">
      <c r="A6" t="s">
        <v>56</v>
      </c>
      <c r="B6" s="10" t="s">
        <v>61</v>
      </c>
      <c r="C6" s="42">
        <f>DATE(tblFeiertage[[#Headers],[2025]],1,6)</f>
        <v>45663</v>
      </c>
      <c r="D6" s="42">
        <f>DATE(tblFeiertage[[#Headers],[2026]],1,6)</f>
        <v>46028</v>
      </c>
      <c r="E6" s="42">
        <f>DATE(tblFeiertage[[#Headers],[2027]],1,6)</f>
        <v>46393</v>
      </c>
      <c r="F6" s="42">
        <f>DATE(tblFeiertage[[#Headers],[2028]],1,6)</f>
        <v>46758</v>
      </c>
      <c r="G6" s="42">
        <f>DATE(tblFeiertage[[#Headers],[2029]],1,6)</f>
        <v>47124</v>
      </c>
      <c r="H6" s="42">
        <f>DATE(tblFeiertage[[#Headers],[2030]],1,6)</f>
        <v>47489</v>
      </c>
      <c r="I6" s="42">
        <f>DATE(tblFeiertage[[#Headers],[2031]],1,6)</f>
        <v>47854</v>
      </c>
      <c r="J6" s="42">
        <f>DATE(tblFeiertage[[#Headers],[2032]],1,6)</f>
        <v>48219</v>
      </c>
      <c r="K6" s="42"/>
      <c r="L6" s="51">
        <v>2028</v>
      </c>
      <c r="M6" s="52" cm="1">
        <f t="array" ref="M6">Ostersonntag(tblOstern[[#This Row],[Jahr]])</f>
        <v>46859</v>
      </c>
      <c r="N6"/>
      <c r="O6" s="4" t="s">
        <v>3</v>
      </c>
      <c r="P6" s="8" t="b">
        <v>1</v>
      </c>
      <c r="Q6" s="6" t="s">
        <v>33</v>
      </c>
      <c r="T6" t="s">
        <v>38</v>
      </c>
      <c r="U6" t="s">
        <v>39</v>
      </c>
      <c r="W6" s="5" t="s">
        <v>91</v>
      </c>
      <c r="X6" s="5"/>
      <c r="Y6" s="4" t="s">
        <v>129</v>
      </c>
    </row>
    <row r="7" spans="1:25" s="4" customFormat="1" x14ac:dyDescent="0.25">
      <c r="A7" t="s">
        <v>64</v>
      </c>
      <c r="B7" s="10" t="s">
        <v>39</v>
      </c>
      <c r="C7" s="42">
        <f>DATE(tblFeiertage[[#Headers],[2025]], 3, 8)</f>
        <v>45724</v>
      </c>
      <c r="D7" s="42">
        <f>DATE(tblFeiertage[[#Headers],[2026]], 3, 8)</f>
        <v>46089</v>
      </c>
      <c r="E7" s="42">
        <f>DATE(tblFeiertage[[#Headers],[2027]], 3, 8)</f>
        <v>46454</v>
      </c>
      <c r="F7" s="42">
        <f>DATE(tblFeiertage[[#Headers],[2028]], 3, 8)</f>
        <v>46820</v>
      </c>
      <c r="G7" s="42">
        <f>DATE(tblFeiertage[[#Headers],[2029]], 3, 8)</f>
        <v>47185</v>
      </c>
      <c r="H7" s="42">
        <f>DATE(tblFeiertage[[#Headers],[2030]], 3, 8)</f>
        <v>47550</v>
      </c>
      <c r="I7" s="42">
        <f>DATE(tblFeiertage[[#Headers],[2031]], 3, 8)</f>
        <v>47915</v>
      </c>
      <c r="J7" s="42">
        <f>DATE(tblFeiertage[[#Headers],[2032]], 3, 8)</f>
        <v>48281</v>
      </c>
      <c r="K7" s="42"/>
      <c r="L7" s="51">
        <v>2029</v>
      </c>
      <c r="M7" s="52" cm="1">
        <f t="array" ref="M7">Ostersonntag(tblOstern[[#This Row],[Jahr]])</f>
        <v>47209</v>
      </c>
      <c r="N7"/>
      <c r="O7" s="4" t="s">
        <v>4</v>
      </c>
      <c r="P7" s="8" t="b">
        <v>1</v>
      </c>
      <c r="Q7" s="6" t="s">
        <v>46</v>
      </c>
      <c r="T7" t="s">
        <v>41</v>
      </c>
      <c r="U7" t="s">
        <v>42</v>
      </c>
      <c r="W7" s="4" t="s">
        <v>92</v>
      </c>
      <c r="Y7" s="4" t="s">
        <v>130</v>
      </c>
    </row>
    <row r="8" spans="1:25" s="4" customFormat="1" x14ac:dyDescent="0.25">
      <c r="A8" t="s">
        <v>64</v>
      </c>
      <c r="B8" s="10" t="s">
        <v>52</v>
      </c>
      <c r="C8" s="42">
        <f>DATE(tblFeiertage[[#Headers],[2025]], 3, 8)</f>
        <v>45724</v>
      </c>
      <c r="D8" s="42">
        <f>DATE(tblFeiertage[[#Headers],[2026]], 3, 8)</f>
        <v>46089</v>
      </c>
      <c r="E8" s="42">
        <f>DATE(tblFeiertage[[#Headers],[2027]], 3, 8)</f>
        <v>46454</v>
      </c>
      <c r="F8" s="42">
        <f>DATE(tblFeiertage[[#Headers],[2028]], 3, 8)</f>
        <v>46820</v>
      </c>
      <c r="G8" s="42">
        <f>DATE(tblFeiertage[[#Headers],[2029]], 3, 8)</f>
        <v>47185</v>
      </c>
      <c r="H8" s="42">
        <f>DATE(tblFeiertage[[#Headers],[2030]], 3, 8)</f>
        <v>47550</v>
      </c>
      <c r="I8" s="42">
        <f>DATE(tblFeiertage[[#Headers],[2031]], 3, 8)</f>
        <v>47915</v>
      </c>
      <c r="J8" s="42">
        <f>DATE(tblFeiertage[[#Headers],[2032]], 3, 8)</f>
        <v>48281</v>
      </c>
      <c r="K8" s="42"/>
      <c r="L8" s="51">
        <v>2030</v>
      </c>
      <c r="M8" s="52" cm="1">
        <f t="array" ref="M8">Ostersonntag(tblOstern[[#This Row],[Jahr]])</f>
        <v>47594</v>
      </c>
      <c r="N8"/>
      <c r="O8" s="4" t="s">
        <v>6</v>
      </c>
      <c r="P8" s="8" t="b">
        <v>1</v>
      </c>
      <c r="Q8" s="6" t="s">
        <v>58</v>
      </c>
      <c r="T8" t="s">
        <v>2</v>
      </c>
      <c r="U8" t="s">
        <v>44</v>
      </c>
    </row>
    <row r="9" spans="1:25" s="4" customFormat="1" x14ac:dyDescent="0.25">
      <c r="A9" t="s">
        <v>31</v>
      </c>
      <c r="B9" s="7" t="s">
        <v>29</v>
      </c>
      <c r="C9" s="42">
        <f>_xlfn.XLOOKUP(2025 + COLUMN() - 3, tblOstern[Jahr], tblOstern[Ostersonntag]) - 2</f>
        <v>45765</v>
      </c>
      <c r="D9" s="42">
        <f>_xlfn.XLOOKUP(2025 + COLUMN() - 3, tblOstern[Jahr], tblOstern[Ostersonntag]) - 2</f>
        <v>46115</v>
      </c>
      <c r="E9" s="42">
        <f>_xlfn.XLOOKUP(2025 + COLUMN() - 3, tblOstern[Jahr], tblOstern[Ostersonntag]) - 2</f>
        <v>46472</v>
      </c>
      <c r="F9" s="42">
        <f>_xlfn.XLOOKUP(2025 + COLUMN() - 3, tblOstern[Jahr], tblOstern[Ostersonntag]) - 2</f>
        <v>46857</v>
      </c>
      <c r="G9" s="42">
        <f>_xlfn.XLOOKUP(2025 + COLUMN() - 3, tblOstern[Jahr], tblOstern[Ostersonntag]) - 2</f>
        <v>47207</v>
      </c>
      <c r="H9" s="42">
        <f>_xlfn.XLOOKUP(2025 + COLUMN() - 3, tblOstern[Jahr], tblOstern[Ostersonntag]) - 2</f>
        <v>47592</v>
      </c>
      <c r="I9" s="42">
        <f>_xlfn.XLOOKUP(2025 + COLUMN() - 3, tblOstern[Jahr], tblOstern[Ostersonntag]) - 2</f>
        <v>47949</v>
      </c>
      <c r="J9" s="42">
        <f>_xlfn.XLOOKUP(2025 + COLUMN() - 3, tblOstern[Jahr], tblOstern[Ostersonntag]) - 2</f>
        <v>48299</v>
      </c>
      <c r="K9" s="42"/>
      <c r="L9" s="51">
        <v>2031</v>
      </c>
      <c r="M9" s="52" cm="1">
        <f t="array" ref="M9">Ostersonntag(tblOstern[[#This Row],[Jahr]])</f>
        <v>47951</v>
      </c>
      <c r="N9"/>
      <c r="O9" s="4" t="s">
        <v>14</v>
      </c>
      <c r="P9" s="8" t="b">
        <v>0</v>
      </c>
      <c r="Q9" s="6" t="s">
        <v>36</v>
      </c>
      <c r="T9" t="s">
        <v>5</v>
      </c>
      <c r="U9" t="s">
        <v>46</v>
      </c>
    </row>
    <row r="10" spans="1:25" s="4" customFormat="1" x14ac:dyDescent="0.25">
      <c r="A10" t="s">
        <v>34</v>
      </c>
      <c r="B10" s="7" t="s">
        <v>29</v>
      </c>
      <c r="C10" s="42">
        <f>_xlfn.XLOOKUP(2025 + COLUMN() - 3, tblOstern[Jahr], tblOstern[Ostersonntag])</f>
        <v>45767</v>
      </c>
      <c r="D10" s="42">
        <f>_xlfn.XLOOKUP(2025 + COLUMN() - 3, tblOstern[Jahr], tblOstern[Ostersonntag])</f>
        <v>46117</v>
      </c>
      <c r="E10" s="42">
        <f>_xlfn.XLOOKUP(2025 + COLUMN() - 3, tblOstern[Jahr], tblOstern[Ostersonntag])</f>
        <v>46474</v>
      </c>
      <c r="F10" s="42">
        <f>_xlfn.XLOOKUP(2025 + COLUMN() - 3, tblOstern[Jahr], tblOstern[Ostersonntag])</f>
        <v>46859</v>
      </c>
      <c r="G10" s="42">
        <f>_xlfn.XLOOKUP(2025 + COLUMN() - 3, tblOstern[Jahr], tblOstern[Ostersonntag])</f>
        <v>47209</v>
      </c>
      <c r="H10" s="42">
        <f>_xlfn.XLOOKUP(2025 + COLUMN() - 3, tblOstern[Jahr], tblOstern[Ostersonntag])</f>
        <v>47594</v>
      </c>
      <c r="I10" s="42">
        <f>_xlfn.XLOOKUP(2025 + COLUMN() - 3, tblOstern[Jahr], tblOstern[Ostersonntag])</f>
        <v>47951</v>
      </c>
      <c r="J10" s="42">
        <f>_xlfn.XLOOKUP(2025 + COLUMN() - 3, tblOstern[Jahr], tblOstern[Ostersonntag])</f>
        <v>48301</v>
      </c>
      <c r="K10" s="42"/>
      <c r="L10" s="51">
        <v>2032</v>
      </c>
      <c r="M10" s="52" cm="1">
        <f t="array" ref="M10">Ostersonntag(tblOstern[[#This Row],[Jahr]])</f>
        <v>48301</v>
      </c>
      <c r="N10"/>
      <c r="T10" t="s">
        <v>48</v>
      </c>
      <c r="U10" t="s">
        <v>49</v>
      </c>
    </row>
    <row r="11" spans="1:25" s="4" customFormat="1" x14ac:dyDescent="0.25">
      <c r="A11" t="s">
        <v>37</v>
      </c>
      <c r="B11" s="7" t="s">
        <v>29</v>
      </c>
      <c r="C11" s="42">
        <f>_xlfn.XLOOKUP(2022 + COLUMN(), tblOstern[Jahr], tblOstern[Ostersonntag]) +1</f>
        <v>45768</v>
      </c>
      <c r="D11" s="42">
        <f>_xlfn.XLOOKUP(2022 + COLUMN(), tblOstern[Jahr], tblOstern[Ostersonntag]) +1</f>
        <v>46118</v>
      </c>
      <c r="E11" s="42">
        <f>_xlfn.XLOOKUP(2022 + COLUMN(), tblOstern[Jahr], tblOstern[Ostersonntag]) +1</f>
        <v>46475</v>
      </c>
      <c r="F11" s="42">
        <f>_xlfn.XLOOKUP(2022 + COLUMN(), tblOstern[Jahr], tblOstern[Ostersonntag]) +1</f>
        <v>46860</v>
      </c>
      <c r="G11" s="42">
        <f>_xlfn.XLOOKUP(2022 + COLUMN(), tblOstern[Jahr], tblOstern[Ostersonntag]) +1</f>
        <v>47210</v>
      </c>
      <c r="H11" s="42">
        <f>_xlfn.XLOOKUP(2022 + COLUMN(), tblOstern[Jahr], tblOstern[Ostersonntag]) +1</f>
        <v>47595</v>
      </c>
      <c r="I11" s="42">
        <f>_xlfn.XLOOKUP(2022 + COLUMN(), tblOstern[Jahr], tblOstern[Ostersonntag]) +1</f>
        <v>47952</v>
      </c>
      <c r="J11" s="42">
        <f>_xlfn.XLOOKUP(2022 + COLUMN(), tblOstern[Jahr], tblOstern[Ostersonntag]) +1</f>
        <v>48302</v>
      </c>
      <c r="K11" s="42"/>
      <c r="L11" s="42"/>
      <c r="M11" s="42"/>
      <c r="N11"/>
      <c r="T11" t="s">
        <v>51</v>
      </c>
      <c r="U11" t="s">
        <v>52</v>
      </c>
    </row>
    <row r="12" spans="1:25" s="4" customFormat="1" x14ac:dyDescent="0.25">
      <c r="A12" t="s">
        <v>40</v>
      </c>
      <c r="B12" s="7" t="s">
        <v>29</v>
      </c>
      <c r="C12" s="42">
        <f>DATE(tblFeiertage[[#Headers],[2025]],5,1)</f>
        <v>45778</v>
      </c>
      <c r="D12" s="42">
        <f>DATE(tblFeiertage[[#Headers],[2026]],5,1)</f>
        <v>46143</v>
      </c>
      <c r="E12" s="42">
        <f>DATE(tblFeiertage[[#Headers],[2027]],5,1)</f>
        <v>46508</v>
      </c>
      <c r="F12" s="42">
        <f>DATE(tblFeiertage[[#Headers],[2028]],5,1)</f>
        <v>46874</v>
      </c>
      <c r="G12" s="42">
        <f>DATE(tblFeiertage[[#Headers],[2029]],5,1)</f>
        <v>47239</v>
      </c>
      <c r="H12" s="42">
        <f>DATE(tblFeiertage[[#Headers],[2030]],5,1)</f>
        <v>47604</v>
      </c>
      <c r="I12" s="42">
        <f>DATE(tblFeiertage[[#Headers],[2031]],5,1)</f>
        <v>47969</v>
      </c>
      <c r="J12" s="42">
        <f>DATE(tblFeiertage[[#Headers],[2032]],5,1)</f>
        <v>48335</v>
      </c>
      <c r="K12" s="42"/>
      <c r="L12" s="42"/>
      <c r="M12" s="42"/>
      <c r="N12"/>
      <c r="T12" t="s">
        <v>54</v>
      </c>
      <c r="U12" t="s">
        <v>55</v>
      </c>
    </row>
    <row r="13" spans="1:25" s="4" customFormat="1" x14ac:dyDescent="0.25">
      <c r="A13" t="s">
        <v>43</v>
      </c>
      <c r="B13" s="7" t="s">
        <v>29</v>
      </c>
      <c r="C13" s="42">
        <f>_xlfn.XLOOKUP(2022 + COLUMN(), tblOstern[Jahr], tblOstern[Ostersonntag]) + 39</f>
        <v>45806</v>
      </c>
      <c r="D13" s="42">
        <f>_xlfn.XLOOKUP(2022 + COLUMN(), tblOstern[Jahr], tblOstern[Ostersonntag]) + 39</f>
        <v>46156</v>
      </c>
      <c r="E13" s="42">
        <f>_xlfn.XLOOKUP(2022 + COLUMN(), tblOstern[Jahr], tblOstern[Ostersonntag]) + 39</f>
        <v>46513</v>
      </c>
      <c r="F13" s="42">
        <f>_xlfn.XLOOKUP(2022 + COLUMN(), tblOstern[Jahr], tblOstern[Ostersonntag]) + 39</f>
        <v>46898</v>
      </c>
      <c r="G13" s="42">
        <f>_xlfn.XLOOKUP(2022 + COLUMN(), tblOstern[Jahr], tblOstern[Ostersonntag]) + 39</f>
        <v>47248</v>
      </c>
      <c r="H13" s="42">
        <f>_xlfn.XLOOKUP(2022 + COLUMN(), tblOstern[Jahr], tblOstern[Ostersonntag]) + 39</f>
        <v>47633</v>
      </c>
      <c r="I13" s="42">
        <f>_xlfn.XLOOKUP(2022 + COLUMN(), tblOstern[Jahr], tblOstern[Ostersonntag]) + 39</f>
        <v>47990</v>
      </c>
      <c r="J13" s="42">
        <f>_xlfn.XLOOKUP(2022 + COLUMN(), tblOstern[Jahr], tblOstern[Ostersonntag]) + 39</f>
        <v>48340</v>
      </c>
      <c r="K13" s="42"/>
      <c r="L13" s="42"/>
      <c r="M13" s="42"/>
      <c r="N13"/>
      <c r="T13" t="s">
        <v>57</v>
      </c>
      <c r="U13" t="s">
        <v>58</v>
      </c>
    </row>
    <row r="14" spans="1:25" s="4" customFormat="1" x14ac:dyDescent="0.25">
      <c r="A14" t="s">
        <v>45</v>
      </c>
      <c r="B14" s="7" t="s">
        <v>29</v>
      </c>
      <c r="C14" s="42">
        <f>_xlfn.XLOOKUP(2022 + COLUMN(), tblOstern[Jahr], tblOstern[Ostersonntag]) + 50</f>
        <v>45817</v>
      </c>
      <c r="D14" s="42">
        <f>_xlfn.XLOOKUP(2022 + COLUMN(), tblOstern[Jahr], tblOstern[Ostersonntag]) + 50</f>
        <v>46167</v>
      </c>
      <c r="E14" s="42">
        <f>_xlfn.XLOOKUP(2022 + COLUMN(), tblOstern[Jahr], tblOstern[Ostersonntag]) + 50</f>
        <v>46524</v>
      </c>
      <c r="F14" s="42">
        <f>_xlfn.XLOOKUP(2022 + COLUMN(), tblOstern[Jahr], tblOstern[Ostersonntag]) + 50</f>
        <v>46909</v>
      </c>
      <c r="G14" s="42">
        <f>_xlfn.XLOOKUP(2022 + COLUMN(), tblOstern[Jahr], tblOstern[Ostersonntag]) + 50</f>
        <v>47259</v>
      </c>
      <c r="H14" s="42">
        <f>_xlfn.XLOOKUP(2022 + COLUMN(), tblOstern[Jahr], tblOstern[Ostersonntag]) + 50</f>
        <v>47644</v>
      </c>
      <c r="I14" s="42">
        <f>_xlfn.XLOOKUP(2022 + COLUMN(), tblOstern[Jahr], tblOstern[Ostersonntag]) + 50</f>
        <v>48001</v>
      </c>
      <c r="J14" s="42">
        <f>_xlfn.XLOOKUP(2022 + COLUMN(), tblOstern[Jahr], tblOstern[Ostersonntag]) + 50</f>
        <v>48351</v>
      </c>
      <c r="K14" s="42"/>
      <c r="M14" s="42"/>
      <c r="N14"/>
      <c r="T14" t="s">
        <v>59</v>
      </c>
      <c r="U14" t="s">
        <v>60</v>
      </c>
    </row>
    <row r="15" spans="1:25" s="4" customFormat="1" x14ac:dyDescent="0.25">
      <c r="A15" t="s">
        <v>68</v>
      </c>
      <c r="B15" s="10" t="s">
        <v>33</v>
      </c>
      <c r="C15" s="42">
        <f>_xlfn.XLOOKUP(2022 + COLUMN(), tblOstern[Jahr], tblOstern[Ostersonntag]) + 60</f>
        <v>45827</v>
      </c>
      <c r="D15" s="42">
        <f>_xlfn.XLOOKUP(2022 + COLUMN(), tblOstern[Jahr], tblOstern[Ostersonntag]) + 60</f>
        <v>46177</v>
      </c>
      <c r="E15" s="42">
        <f>_xlfn.XLOOKUP(2022 + COLUMN(), tblOstern[Jahr], tblOstern[Ostersonntag]) + 60</f>
        <v>46534</v>
      </c>
      <c r="F15" s="42">
        <f>_xlfn.XLOOKUP(2022 + COLUMN(), tblOstern[Jahr], tblOstern[Ostersonntag]) + 60</f>
        <v>46919</v>
      </c>
      <c r="G15" s="42">
        <f>_xlfn.XLOOKUP(2022 + COLUMN(), tblOstern[Jahr], tblOstern[Ostersonntag]) + 60</f>
        <v>47269</v>
      </c>
      <c r="H15" s="42">
        <f>_xlfn.XLOOKUP(2022 + COLUMN(), tblOstern[Jahr], tblOstern[Ostersonntag]) + 60</f>
        <v>47654</v>
      </c>
      <c r="I15" s="42">
        <f>_xlfn.XLOOKUP(2022 + COLUMN(), tblOstern[Jahr], tblOstern[Ostersonntag]) + 60</f>
        <v>48011</v>
      </c>
      <c r="J15" s="42">
        <f>_xlfn.XLOOKUP(2022 + COLUMN(), tblOstern[Jahr], tblOstern[Ostersonntag]) + 60</f>
        <v>48361</v>
      </c>
      <c r="K15" s="42"/>
      <c r="M15" s="42"/>
      <c r="N15"/>
      <c r="T15" t="s">
        <v>62</v>
      </c>
      <c r="U15" t="s">
        <v>63</v>
      </c>
    </row>
    <row r="16" spans="1:25" s="4" customFormat="1" x14ac:dyDescent="0.25">
      <c r="A16" t="s">
        <v>68</v>
      </c>
      <c r="B16" s="10" t="s">
        <v>36</v>
      </c>
      <c r="C16" s="42">
        <v>45827</v>
      </c>
      <c r="D16" s="42">
        <v>46177</v>
      </c>
      <c r="E16" s="42">
        <v>46534</v>
      </c>
      <c r="F16" s="42">
        <v>46919</v>
      </c>
      <c r="G16" s="42">
        <v>47269</v>
      </c>
      <c r="H16" s="42">
        <v>47654</v>
      </c>
      <c r="I16" s="42">
        <v>48011</v>
      </c>
      <c r="J16" s="42">
        <v>48361</v>
      </c>
      <c r="K16" s="42"/>
      <c r="M16" s="42"/>
      <c r="N16"/>
      <c r="T16" t="s">
        <v>65</v>
      </c>
      <c r="U16" t="s">
        <v>66</v>
      </c>
    </row>
    <row r="17" spans="1:25" s="4" customFormat="1" ht="15" customHeight="1" x14ac:dyDescent="0.25">
      <c r="A17" t="s">
        <v>68</v>
      </c>
      <c r="B17" s="10" t="s">
        <v>49</v>
      </c>
      <c r="C17" s="42">
        <v>45827</v>
      </c>
      <c r="D17" s="42">
        <v>46177</v>
      </c>
      <c r="E17" s="42">
        <v>46534</v>
      </c>
      <c r="F17" s="42">
        <v>46919</v>
      </c>
      <c r="G17" s="42">
        <v>47269</v>
      </c>
      <c r="H17" s="42">
        <v>47654</v>
      </c>
      <c r="I17" s="42">
        <v>48011</v>
      </c>
      <c r="J17" s="42">
        <v>48361</v>
      </c>
      <c r="K17" s="42"/>
      <c r="M17" s="42"/>
      <c r="N17"/>
      <c r="T17" t="s">
        <v>67</v>
      </c>
      <c r="U17" t="s">
        <v>61</v>
      </c>
    </row>
    <row r="18" spans="1:25" s="4" customFormat="1" x14ac:dyDescent="0.25">
      <c r="A18" t="s">
        <v>68</v>
      </c>
      <c r="B18" s="10" t="s">
        <v>58</v>
      </c>
      <c r="C18" s="42">
        <v>45827</v>
      </c>
      <c r="D18" s="42">
        <v>46177</v>
      </c>
      <c r="E18" s="42">
        <v>46534</v>
      </c>
      <c r="F18" s="42">
        <v>46919</v>
      </c>
      <c r="G18" s="42">
        <v>47269</v>
      </c>
      <c r="H18" s="42">
        <v>47654</v>
      </c>
      <c r="I18" s="42">
        <v>48011</v>
      </c>
      <c r="J18" s="42">
        <v>48361</v>
      </c>
      <c r="K18" s="42"/>
      <c r="M18" s="42"/>
      <c r="N18"/>
      <c r="T18" t="s">
        <v>69</v>
      </c>
      <c r="U18" t="s">
        <v>70</v>
      </c>
    </row>
    <row r="19" spans="1:25" s="4" customFormat="1" x14ac:dyDescent="0.25">
      <c r="A19" t="s">
        <v>68</v>
      </c>
      <c r="B19" s="10" t="s">
        <v>60</v>
      </c>
      <c r="C19" s="42">
        <v>45827</v>
      </c>
      <c r="D19" s="42">
        <v>46177</v>
      </c>
      <c r="E19" s="42">
        <v>46534</v>
      </c>
      <c r="F19" s="42">
        <v>46919</v>
      </c>
      <c r="G19" s="42">
        <v>47269</v>
      </c>
      <c r="H19" s="42">
        <v>47654</v>
      </c>
      <c r="I19" s="42">
        <v>48011</v>
      </c>
      <c r="J19" s="42">
        <v>48361</v>
      </c>
      <c r="K19" s="42"/>
      <c r="M19" s="42"/>
      <c r="N19"/>
      <c r="T19" t="s">
        <v>71</v>
      </c>
      <c r="U19" t="s">
        <v>72</v>
      </c>
    </row>
    <row r="20" spans="1:25" s="4" customFormat="1" x14ac:dyDescent="0.25">
      <c r="A20" t="s">
        <v>68</v>
      </c>
      <c r="B20" s="10" t="s">
        <v>63</v>
      </c>
      <c r="C20" s="42">
        <v>45827</v>
      </c>
      <c r="D20" s="42">
        <v>46177</v>
      </c>
      <c r="E20" s="42">
        <v>46534</v>
      </c>
      <c r="F20" s="42">
        <v>46919</v>
      </c>
      <c r="G20" s="42">
        <v>47269</v>
      </c>
      <c r="H20" s="42">
        <v>47654</v>
      </c>
      <c r="I20" s="42">
        <v>48011</v>
      </c>
      <c r="J20" s="42">
        <v>48361</v>
      </c>
      <c r="K20" s="42"/>
      <c r="M20" s="42"/>
      <c r="N20"/>
      <c r="T20"/>
      <c r="U20"/>
    </row>
    <row r="21" spans="1:25" s="4" customFormat="1" x14ac:dyDescent="0.25">
      <c r="A21" t="s">
        <v>73</v>
      </c>
      <c r="B21" s="10" t="s">
        <v>36</v>
      </c>
      <c r="C21" s="42">
        <f>DATE(tblFeiertage[[#Headers],[2025]], 8, 8)</f>
        <v>45877</v>
      </c>
      <c r="D21" s="42">
        <f>DATE(tblFeiertage[[#Headers],[2026]], 8, 8)</f>
        <v>46242</v>
      </c>
      <c r="E21" s="42">
        <f>DATE(tblFeiertage[[#Headers],[2027]], 8, 8)</f>
        <v>46607</v>
      </c>
      <c r="F21" s="42">
        <f>DATE(tblFeiertage[[#Headers],[2028]], 8, 8)</f>
        <v>46973</v>
      </c>
      <c r="G21" s="42">
        <f>DATE(tblFeiertage[[#Headers],[2029]], 8, 8)</f>
        <v>47338</v>
      </c>
      <c r="H21" s="42">
        <f>DATE(tblFeiertage[[#Headers],[2030]], 8, 8)</f>
        <v>47703</v>
      </c>
      <c r="I21" s="42">
        <f>DATE(tblFeiertage[[#Headers],[2031]], 8, 8)</f>
        <v>48068</v>
      </c>
      <c r="J21" s="42">
        <f>DATE(tblFeiertage[[#Headers],[2032]], 8, 8)</f>
        <v>48434</v>
      </c>
      <c r="K21" s="42"/>
      <c r="M21" s="42"/>
      <c r="N21"/>
      <c r="O21" s="43" t="s">
        <v>15</v>
      </c>
      <c r="T21"/>
      <c r="U21"/>
    </row>
    <row r="22" spans="1:25" s="4" customFormat="1" x14ac:dyDescent="0.25">
      <c r="A22" t="s">
        <v>74</v>
      </c>
      <c r="B22" s="10" t="s">
        <v>36</v>
      </c>
      <c r="C22" s="42">
        <f>DATE(tblFeiertage[[#Headers],[2025]], 8, 15)</f>
        <v>45884</v>
      </c>
      <c r="D22" s="42">
        <f>DATE(tblFeiertage[[#Headers],[2026]], 8, 15)</f>
        <v>46249</v>
      </c>
      <c r="E22" s="42">
        <f>DATE(tblFeiertage[[#Headers],[2027]], 8, 15)</f>
        <v>46614</v>
      </c>
      <c r="F22" s="42">
        <f>DATE(tblFeiertage[[#Headers],[2028]], 8, 15)</f>
        <v>46980</v>
      </c>
      <c r="G22" s="42">
        <f>DATE(tblFeiertage[[#Headers],[2029]], 8, 15)</f>
        <v>47345</v>
      </c>
      <c r="H22" s="42">
        <f>DATE(tblFeiertage[[#Headers],[2030]], 8, 15)</f>
        <v>47710</v>
      </c>
      <c r="I22" s="42">
        <f>DATE(tblFeiertage[[#Headers],[2031]], 8, 15)</f>
        <v>48075</v>
      </c>
      <c r="J22" s="42">
        <f>DATE(tblFeiertage[[#Headers],[2032]], 8, 15)</f>
        <v>48441</v>
      </c>
      <c r="K22" s="42"/>
      <c r="L22" s="42"/>
      <c r="M22" s="42"/>
      <c r="N22"/>
      <c r="O22" s="4" t="str" cm="1">
        <f t="array" ref="O22:O25">_xlfn._xlws.SORT(_xlfn._xlws.FILTER(tblVBNames[Mitarbeiter],tblVBNames[Aktiv]),1)</f>
        <v>Lehrmann, Marcel</v>
      </c>
      <c r="T22"/>
      <c r="U22"/>
    </row>
    <row r="23" spans="1:25" s="4" customFormat="1" x14ac:dyDescent="0.25">
      <c r="A23" t="s">
        <v>74</v>
      </c>
      <c r="B23" s="10" t="s">
        <v>63</v>
      </c>
      <c r="C23" s="42">
        <f>DATE(tblFeiertage[[#Headers],[2025]], 8, 15)</f>
        <v>45884</v>
      </c>
      <c r="D23" s="42">
        <f>DATE(tblFeiertage[[#Headers],[2026]], 8, 15)</f>
        <v>46249</v>
      </c>
      <c r="E23" s="42">
        <f>DATE(tblFeiertage[[#Headers],[2027]], 8, 15)</f>
        <v>46614</v>
      </c>
      <c r="F23" s="42">
        <f>DATE(tblFeiertage[[#Headers],[2028]], 8, 15)</f>
        <v>46980</v>
      </c>
      <c r="G23" s="42">
        <f>DATE(tblFeiertage[[#Headers],[2029]], 8, 15)</f>
        <v>47345</v>
      </c>
      <c r="H23" s="42">
        <f>DATE(tblFeiertage[[#Headers],[2030]], 8, 15)</f>
        <v>47710</v>
      </c>
      <c r="I23" s="42">
        <f>DATE(tblFeiertage[[#Headers],[2031]], 8, 15)</f>
        <v>48075</v>
      </c>
      <c r="J23" s="42">
        <f>DATE(tblFeiertage[[#Headers],[2032]], 8, 15)</f>
        <v>48441</v>
      </c>
      <c r="K23" s="42"/>
      <c r="L23" s="42"/>
      <c r="M23" s="42"/>
      <c r="N23"/>
      <c r="O23" t="str">
        <v>Plottek, André</v>
      </c>
      <c r="T23"/>
      <c r="U23"/>
    </row>
    <row r="24" spans="1:25" s="4" customFormat="1" x14ac:dyDescent="0.25">
      <c r="A24" t="s">
        <v>75</v>
      </c>
      <c r="B24" s="10" t="s">
        <v>72</v>
      </c>
      <c r="C24" s="42">
        <f>DATE(tblFeiertage[[#Headers],[2025]], 9, 20)</f>
        <v>45920</v>
      </c>
      <c r="D24" s="42">
        <f>DATE(tblFeiertage[[#Headers],[2026]], 9, 20)</f>
        <v>46285</v>
      </c>
      <c r="E24" s="42">
        <f>DATE(tblFeiertage[[#Headers],[2027]], 9, 20)</f>
        <v>46650</v>
      </c>
      <c r="F24" s="42">
        <f>DATE(tblFeiertage[[#Headers],[2028]], 9, 20)</f>
        <v>47016</v>
      </c>
      <c r="G24" s="42">
        <f>DATE(tblFeiertage[[#Headers],[2029]], 9, 20)</f>
        <v>47381</v>
      </c>
      <c r="H24" s="42">
        <f>DATE(tblFeiertage[[#Headers],[2030]], 9, 20)</f>
        <v>47746</v>
      </c>
      <c r="I24" s="42">
        <f>DATE(tblFeiertage[[#Headers],[2031]], 9, 20)</f>
        <v>48111</v>
      </c>
      <c r="J24" s="42">
        <f>DATE(tblFeiertage[[#Headers],[2032]], 9, 20)</f>
        <v>48477</v>
      </c>
      <c r="K24" s="42"/>
      <c r="L24" s="42"/>
      <c r="M24" s="42"/>
      <c r="N24"/>
      <c r="O24" t="str">
        <v>Schweitzer, Sven</v>
      </c>
      <c r="P24"/>
      <c r="Q24"/>
      <c r="T24"/>
      <c r="U24"/>
      <c r="Y24"/>
    </row>
    <row r="25" spans="1:25" x14ac:dyDescent="0.25">
      <c r="A25" t="s">
        <v>47</v>
      </c>
      <c r="B25" s="7" t="s">
        <v>29</v>
      </c>
      <c r="C25" s="42">
        <f>DATE(tblFeiertage[[#Headers],[2025]],10,3)</f>
        <v>45933</v>
      </c>
      <c r="D25" s="42">
        <f>DATE(tblFeiertage[[#Headers],[2026]],10,3)</f>
        <v>46298</v>
      </c>
      <c r="E25" s="42">
        <f>DATE(tblFeiertage[[#Headers],[2027]],10,3)</f>
        <v>46663</v>
      </c>
      <c r="F25" s="42">
        <f>DATE(tblFeiertage[[#Headers],[2028]],10,3)</f>
        <v>47029</v>
      </c>
      <c r="G25" s="42">
        <f>DATE(tblFeiertage[[#Headers],[2029]],10,3)</f>
        <v>47394</v>
      </c>
      <c r="H25" s="42">
        <f>DATE(tblFeiertage[[#Headers],[2030]],10,3)</f>
        <v>47759</v>
      </c>
      <c r="I25" s="42">
        <f>DATE(tblFeiertage[[#Headers],[2031]],10,3)</f>
        <v>48124</v>
      </c>
      <c r="J25" s="42">
        <f>DATE(tblFeiertage[[#Headers],[2032]],10,3)</f>
        <v>48490</v>
      </c>
      <c r="K25" s="42"/>
      <c r="L25" s="42"/>
      <c r="M25" s="42"/>
      <c r="O25" t="str">
        <v>Weber, Joelle</v>
      </c>
      <c r="W25" s="4"/>
      <c r="X25" s="4"/>
    </row>
    <row r="26" spans="1:25" x14ac:dyDescent="0.25">
      <c r="A26" t="s">
        <v>76</v>
      </c>
      <c r="B26" s="10" t="s">
        <v>42</v>
      </c>
      <c r="C26" s="42">
        <f>DATE(tblFeiertage[[#Headers],[2025]], 10,31)</f>
        <v>45961</v>
      </c>
      <c r="D26" s="42">
        <f>DATE(tblFeiertage[[#Headers],[2026]], 10,31)</f>
        <v>46326</v>
      </c>
      <c r="E26" s="42">
        <f>DATE(tblFeiertage[[#Headers],[2027]], 10,31)</f>
        <v>46691</v>
      </c>
      <c r="F26" s="42">
        <f>DATE(tblFeiertage[[#Headers],[2028]], 10,31)</f>
        <v>47057</v>
      </c>
      <c r="G26" s="42">
        <f>DATE(tblFeiertage[[#Headers],[2029]], 10,31)</f>
        <v>47422</v>
      </c>
      <c r="H26" s="42">
        <f>DATE(tblFeiertage[[#Headers],[2030]], 10,31)</f>
        <v>47787</v>
      </c>
      <c r="I26" s="42">
        <f>DATE(tblFeiertage[[#Headers],[2031]], 10,31)</f>
        <v>48152</v>
      </c>
      <c r="J26" s="42">
        <f>DATE(tblFeiertage[[#Headers],[2032]], 10,31)</f>
        <v>48518</v>
      </c>
      <c r="K26" s="42"/>
      <c r="L26" s="42"/>
      <c r="M26" s="42"/>
      <c r="W26" s="4"/>
      <c r="X26" s="4"/>
    </row>
    <row r="27" spans="1:25" x14ac:dyDescent="0.25">
      <c r="A27" t="s">
        <v>76</v>
      </c>
      <c r="B27" s="10" t="s">
        <v>44</v>
      </c>
      <c r="C27" s="42">
        <f>DATE(tblFeiertage[[#Headers],[2025]], 10,31)</f>
        <v>45961</v>
      </c>
      <c r="D27" s="42">
        <f>DATE(tblFeiertage[[#Headers],[2026]], 10,31)</f>
        <v>46326</v>
      </c>
      <c r="E27" s="42">
        <f>DATE(tblFeiertage[[#Headers],[2027]], 10,31)</f>
        <v>46691</v>
      </c>
      <c r="F27" s="42">
        <f>DATE(tblFeiertage[[#Headers],[2028]], 10,31)</f>
        <v>47057</v>
      </c>
      <c r="G27" s="42">
        <f>DATE(tblFeiertage[[#Headers],[2029]], 10,31)</f>
        <v>47422</v>
      </c>
      <c r="H27" s="42">
        <f>DATE(tblFeiertage[[#Headers],[2030]], 10,31)</f>
        <v>47787</v>
      </c>
      <c r="I27" s="42">
        <f>DATE(tblFeiertage[[#Headers],[2031]], 10,31)</f>
        <v>48152</v>
      </c>
      <c r="J27" s="42">
        <f>DATE(tblFeiertage[[#Headers],[2032]], 10,31)</f>
        <v>48518</v>
      </c>
      <c r="K27" s="42"/>
      <c r="L27" s="42"/>
      <c r="M27" s="42"/>
      <c r="W27" s="4"/>
      <c r="X27" s="4"/>
    </row>
    <row r="28" spans="1:25" x14ac:dyDescent="0.25">
      <c r="A28" t="s">
        <v>76</v>
      </c>
      <c r="B28" s="10" t="s">
        <v>46</v>
      </c>
      <c r="C28" s="42">
        <f>DATE(tblFeiertage[[#Headers],[2025]], 10,31)</f>
        <v>45961</v>
      </c>
      <c r="D28" s="42">
        <f>DATE(tblFeiertage[[#Headers],[2026]], 10,31)</f>
        <v>46326</v>
      </c>
      <c r="E28" s="42">
        <f>DATE(tblFeiertage[[#Headers],[2027]], 10,31)</f>
        <v>46691</v>
      </c>
      <c r="F28" s="42">
        <f>DATE(tblFeiertage[[#Headers],[2028]], 10,31)</f>
        <v>47057</v>
      </c>
      <c r="G28" s="42">
        <f>DATE(tblFeiertage[[#Headers],[2029]], 10,31)</f>
        <v>47422</v>
      </c>
      <c r="H28" s="42">
        <f>DATE(tblFeiertage[[#Headers],[2030]], 10,31)</f>
        <v>47787</v>
      </c>
      <c r="I28" s="42">
        <f>DATE(tblFeiertage[[#Headers],[2031]], 10,31)</f>
        <v>48152</v>
      </c>
      <c r="J28" s="42">
        <f>DATE(tblFeiertage[[#Headers],[2032]], 10,31)</f>
        <v>48518</v>
      </c>
      <c r="K28" s="42"/>
      <c r="L28" s="42"/>
      <c r="M28" s="42"/>
      <c r="X28" s="4"/>
    </row>
    <row r="29" spans="1:25" x14ac:dyDescent="0.25">
      <c r="A29" t="s">
        <v>76</v>
      </c>
      <c r="B29" s="10" t="s">
        <v>52</v>
      </c>
      <c r="C29" s="42">
        <f>DATE(tblFeiertage[[#Headers],[2025]], 10,31)</f>
        <v>45961</v>
      </c>
      <c r="D29" s="42">
        <f>DATE(tblFeiertage[[#Headers],[2026]], 10,31)</f>
        <v>46326</v>
      </c>
      <c r="E29" s="42">
        <f>DATE(tblFeiertage[[#Headers],[2027]], 10,31)</f>
        <v>46691</v>
      </c>
      <c r="F29" s="42">
        <f>DATE(tblFeiertage[[#Headers],[2028]], 10,31)</f>
        <v>47057</v>
      </c>
      <c r="G29" s="42">
        <f>DATE(tblFeiertage[[#Headers],[2029]], 10,31)</f>
        <v>47422</v>
      </c>
      <c r="H29" s="42">
        <f>DATE(tblFeiertage[[#Headers],[2030]], 10,31)</f>
        <v>47787</v>
      </c>
      <c r="I29" s="42">
        <f>DATE(tblFeiertage[[#Headers],[2031]], 10,31)</f>
        <v>48152</v>
      </c>
      <c r="J29" s="42">
        <f>DATE(tblFeiertage[[#Headers],[2032]], 10,31)</f>
        <v>48518</v>
      </c>
      <c r="K29" s="42"/>
      <c r="L29" s="42"/>
      <c r="M29" s="42"/>
    </row>
    <row r="30" spans="1:25" x14ac:dyDescent="0.25">
      <c r="A30" t="s">
        <v>76</v>
      </c>
      <c r="B30" s="10" t="s">
        <v>55</v>
      </c>
      <c r="C30" s="42">
        <f>DATE(tblFeiertage[[#Headers],[2025]], 10,31)</f>
        <v>45961</v>
      </c>
      <c r="D30" s="42">
        <f>DATE(tblFeiertage[[#Headers],[2026]], 10,31)</f>
        <v>46326</v>
      </c>
      <c r="E30" s="42">
        <f>DATE(tblFeiertage[[#Headers],[2027]], 10,31)</f>
        <v>46691</v>
      </c>
      <c r="F30" s="42">
        <f>DATE(tblFeiertage[[#Headers],[2028]], 10,31)</f>
        <v>47057</v>
      </c>
      <c r="G30" s="42">
        <f>DATE(tblFeiertage[[#Headers],[2029]], 10,31)</f>
        <v>47422</v>
      </c>
      <c r="H30" s="42">
        <f>DATE(tblFeiertage[[#Headers],[2030]], 10,31)</f>
        <v>47787</v>
      </c>
      <c r="I30" s="42">
        <f>DATE(tblFeiertage[[#Headers],[2031]], 10,31)</f>
        <v>48152</v>
      </c>
      <c r="J30" s="42">
        <f>DATE(tblFeiertage[[#Headers],[2032]], 10,31)</f>
        <v>48518</v>
      </c>
      <c r="K30" s="42"/>
      <c r="L30" s="42"/>
      <c r="M30" s="42"/>
    </row>
    <row r="31" spans="1:25" x14ac:dyDescent="0.25">
      <c r="A31" t="s">
        <v>76</v>
      </c>
      <c r="B31" s="10" t="s">
        <v>70</v>
      </c>
      <c r="C31" s="42">
        <f>DATE(tblFeiertage[[#Headers],[2025]], 10,31)</f>
        <v>45961</v>
      </c>
      <c r="D31" s="42">
        <f>DATE(tblFeiertage[[#Headers],[2026]], 10,31)</f>
        <v>46326</v>
      </c>
      <c r="E31" s="42">
        <f>DATE(tblFeiertage[[#Headers],[2027]], 10,31)</f>
        <v>46691</v>
      </c>
      <c r="F31" s="42">
        <f>DATE(tblFeiertage[[#Headers],[2028]], 10,31)</f>
        <v>47057</v>
      </c>
      <c r="G31" s="42">
        <f>DATE(tblFeiertage[[#Headers],[2029]], 10,31)</f>
        <v>47422</v>
      </c>
      <c r="H31" s="42">
        <f>DATE(tblFeiertage[[#Headers],[2030]], 10,31)</f>
        <v>47787</v>
      </c>
      <c r="I31" s="42">
        <f>DATE(tblFeiertage[[#Headers],[2031]], 10,31)</f>
        <v>48152</v>
      </c>
      <c r="J31" s="42">
        <f>DATE(tblFeiertage[[#Headers],[2032]], 10,31)</f>
        <v>48518</v>
      </c>
      <c r="K31" s="42"/>
      <c r="L31" s="42"/>
      <c r="M31" s="42"/>
    </row>
    <row r="32" spans="1:25" x14ac:dyDescent="0.25">
      <c r="A32" t="s">
        <v>76</v>
      </c>
      <c r="B32" s="10" t="s">
        <v>66</v>
      </c>
      <c r="C32" s="42">
        <f>DATE(tblFeiertage[[#Headers],[2025]], 10,31)</f>
        <v>45961</v>
      </c>
      <c r="D32" s="42">
        <f>DATE(tblFeiertage[[#Headers],[2026]], 10,31)</f>
        <v>46326</v>
      </c>
      <c r="E32" s="42">
        <f>DATE(tblFeiertage[[#Headers],[2027]], 10,31)</f>
        <v>46691</v>
      </c>
      <c r="F32" s="42">
        <f>DATE(tblFeiertage[[#Headers],[2028]], 10,31)</f>
        <v>47057</v>
      </c>
      <c r="G32" s="42">
        <f>DATE(tblFeiertage[[#Headers],[2029]], 10,31)</f>
        <v>47422</v>
      </c>
      <c r="H32" s="42">
        <f>DATE(tblFeiertage[[#Headers],[2030]], 10,31)</f>
        <v>47787</v>
      </c>
      <c r="I32" s="42">
        <f>DATE(tblFeiertage[[#Headers],[2031]], 10,31)</f>
        <v>48152</v>
      </c>
      <c r="J32" s="42">
        <f>DATE(tblFeiertage[[#Headers],[2032]], 10,31)</f>
        <v>48518</v>
      </c>
      <c r="K32" s="42"/>
      <c r="L32" s="42"/>
      <c r="M32" s="42"/>
    </row>
    <row r="33" spans="1:13" x14ac:dyDescent="0.25">
      <c r="A33" t="s">
        <v>76</v>
      </c>
      <c r="B33" s="10" t="s">
        <v>61</v>
      </c>
      <c r="C33" s="42">
        <f>DATE(tblFeiertage[[#Headers],[2025]], 10,31)</f>
        <v>45961</v>
      </c>
      <c r="D33" s="42">
        <f>DATE(tblFeiertage[[#Headers],[2026]], 10,31)</f>
        <v>46326</v>
      </c>
      <c r="E33" s="42">
        <f>DATE(tblFeiertage[[#Headers],[2027]], 10,31)</f>
        <v>46691</v>
      </c>
      <c r="F33" s="42">
        <f>DATE(tblFeiertage[[#Headers],[2028]], 10,31)</f>
        <v>47057</v>
      </c>
      <c r="G33" s="42">
        <f>DATE(tblFeiertage[[#Headers],[2029]], 10,31)</f>
        <v>47422</v>
      </c>
      <c r="H33" s="42">
        <f>DATE(tblFeiertage[[#Headers],[2030]], 10,31)</f>
        <v>47787</v>
      </c>
      <c r="I33" s="42">
        <f>DATE(tblFeiertage[[#Headers],[2031]], 10,31)</f>
        <v>48152</v>
      </c>
      <c r="J33" s="42">
        <f>DATE(tblFeiertage[[#Headers],[2032]], 10,31)</f>
        <v>48518</v>
      </c>
      <c r="K33" s="42"/>
      <c r="L33" s="42"/>
      <c r="M33" s="42"/>
    </row>
    <row r="34" spans="1:13" x14ac:dyDescent="0.25">
      <c r="A34" t="s">
        <v>76</v>
      </c>
      <c r="B34" s="10" t="s">
        <v>72</v>
      </c>
      <c r="C34" s="42">
        <f>DATE(tblFeiertage[[#Headers],[2025]], 10,31)</f>
        <v>45961</v>
      </c>
      <c r="D34" s="42">
        <f>DATE(tblFeiertage[[#Headers],[2026]], 10,31)</f>
        <v>46326</v>
      </c>
      <c r="E34" s="42">
        <f>DATE(tblFeiertage[[#Headers],[2027]], 10,31)</f>
        <v>46691</v>
      </c>
      <c r="F34" s="42">
        <f>DATE(tblFeiertage[[#Headers],[2028]], 10,31)</f>
        <v>47057</v>
      </c>
      <c r="G34" s="42">
        <f>DATE(tblFeiertage[[#Headers],[2029]], 10,31)</f>
        <v>47422</v>
      </c>
      <c r="H34" s="42">
        <f>DATE(tblFeiertage[[#Headers],[2030]], 10,31)</f>
        <v>47787</v>
      </c>
      <c r="I34" s="42">
        <f>DATE(tblFeiertage[[#Headers],[2031]], 10,31)</f>
        <v>48152</v>
      </c>
      <c r="J34" s="42">
        <f>DATE(tblFeiertage[[#Headers],[2032]], 10,31)</f>
        <v>48518</v>
      </c>
      <c r="K34" s="42"/>
      <c r="L34" s="42"/>
      <c r="M34" s="42"/>
    </row>
    <row r="35" spans="1:13" x14ac:dyDescent="0.25">
      <c r="A35" t="s">
        <v>77</v>
      </c>
      <c r="B35" s="10" t="s">
        <v>33</v>
      </c>
      <c r="C35" s="42">
        <f>DATE(tblFeiertage[[#Headers],[2025]], 11,1)</f>
        <v>45962</v>
      </c>
      <c r="D35" s="42">
        <f>DATE(tblFeiertage[[#Headers],[2026]], 11,1)</f>
        <v>46327</v>
      </c>
      <c r="E35" s="42">
        <f>DATE(tblFeiertage[[#Headers],[2027]], 11,1)</f>
        <v>46692</v>
      </c>
      <c r="F35" s="42">
        <f>DATE(tblFeiertage[[#Headers],[2028]], 11,1)</f>
        <v>47058</v>
      </c>
      <c r="G35" s="42">
        <f>DATE(tblFeiertage[[#Headers],[2029]], 11,1)</f>
        <v>47423</v>
      </c>
      <c r="H35" s="42">
        <f>DATE(tblFeiertage[[#Headers],[2030]], 11,1)</f>
        <v>47788</v>
      </c>
      <c r="I35" s="42">
        <f>DATE(tblFeiertage[[#Headers],[2031]], 11,1)</f>
        <v>48153</v>
      </c>
      <c r="J35" s="42">
        <f>DATE(tblFeiertage[[#Headers],[2032]], 11,1)</f>
        <v>48519</v>
      </c>
      <c r="K35" s="42"/>
      <c r="L35" s="42"/>
      <c r="M35" s="42"/>
    </row>
    <row r="36" spans="1:13" x14ac:dyDescent="0.25">
      <c r="A36" t="s">
        <v>77</v>
      </c>
      <c r="B36" s="10" t="s">
        <v>36</v>
      </c>
      <c r="C36" s="42">
        <f>DATE(tblFeiertage[[#Headers],[2025]], 11,1)</f>
        <v>45962</v>
      </c>
      <c r="D36" s="42">
        <f>DATE(tblFeiertage[[#Headers],[2026]], 11,1)</f>
        <v>46327</v>
      </c>
      <c r="E36" s="42">
        <f>DATE(tblFeiertage[[#Headers],[2027]], 11,1)</f>
        <v>46692</v>
      </c>
      <c r="F36" s="42">
        <f>DATE(tblFeiertage[[#Headers],[2028]], 11,1)</f>
        <v>47058</v>
      </c>
      <c r="G36" s="42">
        <f>DATE(tblFeiertage[[#Headers],[2029]], 11,1)</f>
        <v>47423</v>
      </c>
      <c r="H36" s="42">
        <f>DATE(tblFeiertage[[#Headers],[2030]], 11,1)</f>
        <v>47788</v>
      </c>
      <c r="I36" s="42">
        <f>DATE(tblFeiertage[[#Headers],[2031]], 11,1)</f>
        <v>48153</v>
      </c>
      <c r="J36" s="42">
        <f>DATE(tblFeiertage[[#Headers],[2032]], 11,1)</f>
        <v>48519</v>
      </c>
      <c r="K36" s="42"/>
      <c r="L36" s="42"/>
      <c r="M36" s="42"/>
    </row>
    <row r="37" spans="1:13" x14ac:dyDescent="0.25">
      <c r="A37" t="s">
        <v>77</v>
      </c>
      <c r="B37" s="10" t="s">
        <v>58</v>
      </c>
      <c r="C37" s="42">
        <f>DATE(tblFeiertage[[#Headers],[2025]], 11,1)</f>
        <v>45962</v>
      </c>
      <c r="D37" s="42">
        <f>DATE(tblFeiertage[[#Headers],[2026]], 11,1)</f>
        <v>46327</v>
      </c>
      <c r="E37" s="42">
        <f>DATE(tblFeiertage[[#Headers],[2027]], 11,1)</f>
        <v>46692</v>
      </c>
      <c r="F37" s="42">
        <f>DATE(tblFeiertage[[#Headers],[2028]], 11,1)</f>
        <v>47058</v>
      </c>
      <c r="G37" s="42">
        <f>DATE(tblFeiertage[[#Headers],[2029]], 11,1)</f>
        <v>47423</v>
      </c>
      <c r="H37" s="42">
        <f>DATE(tblFeiertage[[#Headers],[2030]], 11,1)</f>
        <v>47788</v>
      </c>
      <c r="I37" s="42">
        <f>DATE(tblFeiertage[[#Headers],[2031]], 11,1)</f>
        <v>48153</v>
      </c>
      <c r="J37" s="42">
        <f>DATE(tblFeiertage[[#Headers],[2032]], 11,1)</f>
        <v>48519</v>
      </c>
      <c r="K37" s="42"/>
      <c r="L37" s="42"/>
      <c r="M37" s="42"/>
    </row>
    <row r="38" spans="1:13" x14ac:dyDescent="0.25">
      <c r="A38" t="s">
        <v>77</v>
      </c>
      <c r="B38" s="10" t="s">
        <v>60</v>
      </c>
      <c r="C38" s="42">
        <f>DATE(tblFeiertage[[#Headers],[2025]], 11,1)</f>
        <v>45962</v>
      </c>
      <c r="D38" s="42">
        <f>DATE(tblFeiertage[[#Headers],[2026]], 11,1)</f>
        <v>46327</v>
      </c>
      <c r="E38" s="42">
        <f>DATE(tblFeiertage[[#Headers],[2027]], 11,1)</f>
        <v>46692</v>
      </c>
      <c r="F38" s="42">
        <f>DATE(tblFeiertage[[#Headers],[2028]], 11,1)</f>
        <v>47058</v>
      </c>
      <c r="G38" s="42">
        <f>DATE(tblFeiertage[[#Headers],[2029]], 11,1)</f>
        <v>47423</v>
      </c>
      <c r="H38" s="42">
        <f>DATE(tblFeiertage[[#Headers],[2030]], 11,1)</f>
        <v>47788</v>
      </c>
      <c r="I38" s="42">
        <f>DATE(tblFeiertage[[#Headers],[2031]], 11,1)</f>
        <v>48153</v>
      </c>
      <c r="J38" s="42">
        <f>DATE(tblFeiertage[[#Headers],[2032]], 11,1)</f>
        <v>48519</v>
      </c>
      <c r="K38" s="42"/>
      <c r="L38" s="42"/>
      <c r="M38" s="42"/>
    </row>
    <row r="39" spans="1:13" x14ac:dyDescent="0.25">
      <c r="A39" t="s">
        <v>77</v>
      </c>
      <c r="B39" s="10" t="s">
        <v>63</v>
      </c>
      <c r="C39" s="42">
        <f>DATE(tblFeiertage[[#Headers],[2025]], 11,1)</f>
        <v>45962</v>
      </c>
      <c r="D39" s="42">
        <f>DATE(tblFeiertage[[#Headers],[2026]], 11,1)</f>
        <v>46327</v>
      </c>
      <c r="E39" s="42">
        <f>DATE(tblFeiertage[[#Headers],[2027]], 11,1)</f>
        <v>46692</v>
      </c>
      <c r="F39" s="42">
        <f>DATE(tblFeiertage[[#Headers],[2028]], 11,1)</f>
        <v>47058</v>
      </c>
      <c r="G39" s="42">
        <f>DATE(tblFeiertage[[#Headers],[2029]], 11,1)</f>
        <v>47423</v>
      </c>
      <c r="H39" s="42">
        <f>DATE(tblFeiertage[[#Headers],[2030]], 11,1)</f>
        <v>47788</v>
      </c>
      <c r="I39" s="42">
        <f>DATE(tblFeiertage[[#Headers],[2031]], 11,1)</f>
        <v>48153</v>
      </c>
      <c r="J39" s="42">
        <f>DATE(tblFeiertage[[#Headers],[2032]], 11,1)</f>
        <v>48519</v>
      </c>
      <c r="K39" s="42"/>
      <c r="L39" s="42"/>
      <c r="M39" s="42"/>
    </row>
    <row r="40" spans="1:13" x14ac:dyDescent="0.25">
      <c r="A40" t="s">
        <v>78</v>
      </c>
      <c r="B40" s="10" t="s">
        <v>66</v>
      </c>
      <c r="C40" s="42">
        <f>DATE(tblFeiertage[[#Headers],[2025]],12,25)-WEEKDAY(DATE(tblFeiertage[[#Headers],[2025]],12,25),2)-32</f>
        <v>45980</v>
      </c>
      <c r="D40" s="42">
        <f>DATE(tblFeiertage[[#Headers],[2026]],12,25)-WEEKDAY(DATE(tblFeiertage[[#Headers],[2026]],12,25),2)-32</f>
        <v>46344</v>
      </c>
      <c r="E40" s="42">
        <f>DATE(tblFeiertage[[#Headers],[2027]],12,25)-WEEKDAY(DATE(tblFeiertage[[#Headers],[2027]],12,25),2)-32</f>
        <v>46708</v>
      </c>
      <c r="F40" s="42">
        <f>DATE(tblFeiertage[[#Headers],[2028]],12,25)-WEEKDAY(DATE(tblFeiertage[[#Headers],[2028]],12,25),2)-32</f>
        <v>47079</v>
      </c>
      <c r="G40" s="42">
        <f>DATE(tblFeiertage[[#Headers],[2029]],12,25)-WEEKDAY(DATE(tblFeiertage[[#Headers],[2029]],12,25),2)-32</f>
        <v>47443</v>
      </c>
      <c r="H40" s="42">
        <f>DATE(tblFeiertage[[#Headers],[2030]],12,25)-WEEKDAY(DATE(tblFeiertage[[#Headers],[2030]],12,25),2)-32</f>
        <v>47807</v>
      </c>
      <c r="I40" s="42">
        <f>DATE(tblFeiertage[[#Headers],[2031]],12,25)-WEEKDAY(DATE(tblFeiertage[[#Headers],[2031]],12,25),2)-32</f>
        <v>48171</v>
      </c>
      <c r="J40" s="42">
        <f>DATE(tblFeiertage[[#Headers],[2032]],12,25)-WEEKDAY(DATE(tblFeiertage[[#Headers],[2032]],12,25),2)-32</f>
        <v>48535</v>
      </c>
      <c r="K40" s="42"/>
      <c r="L40" s="42"/>
      <c r="M40" s="42"/>
    </row>
    <row r="41" spans="1:13" x14ac:dyDescent="0.25">
      <c r="A41" t="s">
        <v>50</v>
      </c>
      <c r="B41" s="7" t="s">
        <v>29</v>
      </c>
      <c r="C41" s="42">
        <f>DATE(tblFeiertage[[#Headers],[2025]],12,25)</f>
        <v>46016</v>
      </c>
      <c r="D41" s="42">
        <f>DATE(tblFeiertage[[#Headers],[2026]],12,25)</f>
        <v>46381</v>
      </c>
      <c r="E41" s="42">
        <f>DATE(tblFeiertage[[#Headers],[2027]],12,25)</f>
        <v>46746</v>
      </c>
      <c r="F41" s="42">
        <f>DATE(tblFeiertage[[#Headers],[2028]],12,25)</f>
        <v>47112</v>
      </c>
      <c r="G41" s="42">
        <f>DATE(tblFeiertage[[#Headers],[2029]],12,25)</f>
        <v>47477</v>
      </c>
      <c r="H41" s="42">
        <f>DATE(tblFeiertage[[#Headers],[2030]],12,25)</f>
        <v>47842</v>
      </c>
      <c r="I41" s="42">
        <f>DATE(tblFeiertage[[#Headers],[2031]],12,25)</f>
        <v>48207</v>
      </c>
      <c r="J41" s="42">
        <f>DATE(tblFeiertage[[#Headers],[2032]],12,25)</f>
        <v>48573</v>
      </c>
      <c r="K41" s="42"/>
      <c r="L41" s="42"/>
      <c r="M41" s="42"/>
    </row>
    <row r="42" spans="1:13" x14ac:dyDescent="0.25">
      <c r="A42" t="s">
        <v>53</v>
      </c>
      <c r="B42" s="7" t="s">
        <v>29</v>
      </c>
      <c r="C42" s="42">
        <f>DATE(tblFeiertage[[#Headers],[2025]],12,26)</f>
        <v>46017</v>
      </c>
      <c r="D42" s="42">
        <f>DATE(tblFeiertage[[#Headers],[2026]],12,26)</f>
        <v>46382</v>
      </c>
      <c r="E42" s="42">
        <f>DATE(tblFeiertage[[#Headers],[2027]],12,26)</f>
        <v>46747</v>
      </c>
      <c r="F42" s="42">
        <f>DATE(tblFeiertage[[#Headers],[2028]],12,26)</f>
        <v>47113</v>
      </c>
      <c r="G42" s="42">
        <f>DATE(tblFeiertage[[#Headers],[2029]],12,26)</f>
        <v>47478</v>
      </c>
      <c r="H42" s="42">
        <f>DATE(tblFeiertage[[#Headers],[2030]],12,26)</f>
        <v>47843</v>
      </c>
      <c r="I42" s="42">
        <f>DATE(tblFeiertage[[#Headers],[2031]],12,26)</f>
        <v>48208</v>
      </c>
      <c r="J42" s="42">
        <f>DATE(tblFeiertage[[#Headers],[2032]],12,26)</f>
        <v>48574</v>
      </c>
      <c r="K42" s="42"/>
      <c r="L42" s="42"/>
      <c r="M42" s="42"/>
    </row>
  </sheetData>
  <phoneticPr fontId="15" type="noConversion"/>
  <dataValidations count="2">
    <dataValidation type="list" allowBlank="1" showInputMessage="1" showErrorMessage="1" sqref="B3:B42" xr:uid="{080298C7-0079-4715-8B6E-FF2AFC7E0AE5}">
      <formula1>Bundesländer</formula1>
    </dataValidation>
    <dataValidation type="list" allowBlank="1" showInputMessage="1" showErrorMessage="1" sqref="Q3:Q9" xr:uid="{BB6A664A-A707-4DA4-B42A-32D11590ED63}">
      <formula1>BundesLandKurz</formula1>
    </dataValidation>
  </dataValidations>
  <pageMargins left="0.7" right="0.7" top="0.78740157499999996" bottom="0.78740157499999996" header="0.3" footer="0.3"/>
  <tableParts count="6">
    <tablePart r:id="rId1"/>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CC96F-C139-4F02-8B35-D3A002B28BB7}">
  <sheetPr codeName="shDeveloper"/>
  <dimension ref="A1:F13"/>
  <sheetViews>
    <sheetView workbookViewId="0">
      <selection activeCell="F7" sqref="F7:F13"/>
    </sheetView>
  </sheetViews>
  <sheetFormatPr baseColWidth="10" defaultRowHeight="15" x14ac:dyDescent="0.25"/>
  <cols>
    <col min="1" max="1" width="19.75" bestFit="1" customWidth="1"/>
    <col min="2" max="2" width="18" customWidth="1"/>
    <col min="3" max="3" width="24.875" customWidth="1"/>
    <col min="4" max="4" width="29.25" customWidth="1"/>
    <col min="5" max="5" width="37.75" customWidth="1"/>
    <col min="6" max="6" width="57.125" customWidth="1"/>
  </cols>
  <sheetData>
    <row r="1" spans="1:6" ht="21" x14ac:dyDescent="0.25">
      <c r="A1" s="30" t="s">
        <v>99</v>
      </c>
      <c r="B1" s="31"/>
      <c r="C1" s="32"/>
      <c r="D1" s="31"/>
      <c r="E1" s="31"/>
      <c r="F1" s="31"/>
    </row>
    <row r="2" spans="1:6" x14ac:dyDescent="0.25">
      <c r="A2" s="33"/>
      <c r="B2" s="33"/>
      <c r="C2" s="33"/>
      <c r="D2" s="33"/>
      <c r="E2" s="33"/>
      <c r="F2" s="33"/>
    </row>
    <row r="3" spans="1:6" x14ac:dyDescent="0.25">
      <c r="A3" s="33" t="s">
        <v>100</v>
      </c>
      <c r="B3" s="34" t="s">
        <v>111</v>
      </c>
      <c r="C3" s="33"/>
      <c r="D3" s="33"/>
      <c r="E3" s="33"/>
      <c r="F3" s="33"/>
    </row>
    <row r="4" spans="1:6" x14ac:dyDescent="0.25">
      <c r="A4" s="33" t="s">
        <v>101</v>
      </c>
      <c r="B4" s="34" t="s">
        <v>102</v>
      </c>
      <c r="C4" s="33"/>
      <c r="D4" s="33"/>
      <c r="E4" s="33"/>
      <c r="F4" s="33"/>
    </row>
    <row r="5" spans="1:6" ht="30" x14ac:dyDescent="0.25">
      <c r="A5" s="35" t="s">
        <v>103</v>
      </c>
      <c r="B5" s="36" t="s">
        <v>104</v>
      </c>
      <c r="C5" s="33"/>
      <c r="D5" s="37"/>
      <c r="E5" s="38"/>
      <c r="F5" s="39"/>
    </row>
    <row r="6" spans="1:6" x14ac:dyDescent="0.25">
      <c r="A6" s="1" t="s">
        <v>105</v>
      </c>
      <c r="B6" s="1" t="s">
        <v>106</v>
      </c>
      <c r="C6" s="1" t="s">
        <v>107</v>
      </c>
      <c r="D6" s="1" t="s">
        <v>108</v>
      </c>
      <c r="E6" s="1" t="s">
        <v>109</v>
      </c>
      <c r="F6" s="1" t="s">
        <v>110</v>
      </c>
    </row>
    <row r="7" spans="1:6" x14ac:dyDescent="0.25">
      <c r="A7" s="1" t="s">
        <v>7</v>
      </c>
      <c r="C7" s="40" t="str">
        <f>_xlfn.REGEXREPLACE(tblDeveloper[[#This Row],[Headers]], "\W", "")</f>
        <v>Datum</v>
      </c>
      <c r="D7" s="41" t="str">
        <f>IF(DevEnumPrefix = "", "",DevEnumPrefix &amp; tblDeveloper[[#This Row],[VBA Names]] &amp; IF(ROW() = 7, " = 1", ""))</f>
        <v>xtrmDatum = 1</v>
      </c>
      <c r="E7" s="41" t="str">
        <f xml:space="preserve"> IF(ISBLANK(DevVarPrefix), "", DevVarPrefix &amp; " ") &amp; tblDeveloper[[#This Row],[VBA Names]] &amp; " As " &amp; IF(ISBLANK(tblDeveloper[[#This Row],[Types]]), "String", tblDeveloper[[#This Row],[Types]])</f>
        <v>Public Datum As String</v>
      </c>
      <c r="F7" s="41" t="str">
        <f>IF(ISBLANK(DevEnumPrefix), "", tblDeveloper[[#This Row],[VBA Names]] &amp; " = " &amp; "values(1, " &amp; DevEnumPrefix &amp; tblDeveloper[[#This Row],[VBA Names]] &amp; ")")</f>
        <v>Datum = values(1, xtrmDatum)</v>
      </c>
    </row>
    <row r="8" spans="1:6" x14ac:dyDescent="0.25">
      <c r="A8" s="1" t="s">
        <v>0</v>
      </c>
      <c r="C8" s="40" t="str">
        <f>_xlfn.REGEXREPLACE(tblDeveloper[[#This Row],[Headers]], "\W", "")</f>
        <v>Mitarbeiter</v>
      </c>
      <c r="D8" s="41" t="str">
        <f>IF(DevEnumPrefix = "", "",DevEnumPrefix &amp; tblDeveloper[[#This Row],[VBA Names]] &amp; IF(ROW() = 7, " = 1", ""))</f>
        <v>xtrmMitarbeiter</v>
      </c>
      <c r="E8" s="41" t="str">
        <f xml:space="preserve"> IF(ISBLANK(DevVarPrefix), "", DevVarPrefix &amp; " ") &amp; tblDeveloper[[#This Row],[VBA Names]] &amp; " As " &amp; IF(ISBLANK(tblDeveloper[[#This Row],[Types]]), "String", tblDeveloper[[#This Row],[Types]])</f>
        <v>Public Mitarbeiter As String</v>
      </c>
      <c r="F8" s="41" t="str">
        <f>IF(ISBLANK(DevEnumPrefix), "", tblDeveloper[[#This Row],[VBA Names]] &amp; " = " &amp; "values(1, " &amp; DevEnumPrefix &amp; tblDeveloper[[#This Row],[VBA Names]] &amp; ")")</f>
        <v>Mitarbeiter = values(1, xtrmMitarbeiter)</v>
      </c>
    </row>
    <row r="9" spans="1:6" x14ac:dyDescent="0.25">
      <c r="A9" s="1" t="s">
        <v>81</v>
      </c>
      <c r="C9" s="40" t="str">
        <f>_xlfn.REGEXREPLACE(tblDeveloper[[#This Row],[Headers]], "\W", "")</f>
        <v>Terminart</v>
      </c>
      <c r="D9" s="41" t="str">
        <f>IF(DevEnumPrefix = "", "",DevEnumPrefix &amp; tblDeveloper[[#This Row],[VBA Names]] &amp; IF(ROW() = 7, " = 1", ""))</f>
        <v>xtrmTerminart</v>
      </c>
      <c r="E9" s="41" t="str">
        <f xml:space="preserve"> IF(ISBLANK(DevVarPrefix), "", DevVarPrefix &amp; " ") &amp; tblDeveloper[[#This Row],[VBA Names]] &amp; " As " &amp; IF(ISBLANK(tblDeveloper[[#This Row],[Types]]), "String", tblDeveloper[[#This Row],[Types]])</f>
        <v>Public Terminart As String</v>
      </c>
      <c r="F9" s="41" t="str">
        <f>IF(ISBLANK(DevEnumPrefix), "", tblDeveloper[[#This Row],[VBA Names]] &amp; " = " &amp; "values(1, " &amp; DevEnumPrefix &amp; tblDeveloper[[#This Row],[VBA Names]] &amp; ")")</f>
        <v>Terminart = values(1, xtrmTerminart)</v>
      </c>
    </row>
    <row r="10" spans="1:6" x14ac:dyDescent="0.25">
      <c r="A10" s="1" t="s">
        <v>82</v>
      </c>
      <c r="C10" s="40" t="str">
        <f>_xlfn.REGEXREPLACE(tblDeveloper[[#This Row],[Headers]], "\W", "")</f>
        <v>Agent</v>
      </c>
      <c r="D10" s="41" t="str">
        <f>IF(DevEnumPrefix = "", "",DevEnumPrefix &amp; tblDeveloper[[#This Row],[VBA Names]] &amp; IF(ROW() = 7, " = 1", ""))</f>
        <v>xtrmAgent</v>
      </c>
      <c r="E10" s="41" t="str">
        <f xml:space="preserve"> IF(ISBLANK(DevVarPrefix), "", DevVarPrefix &amp; " ") &amp; tblDeveloper[[#This Row],[VBA Names]] &amp; " As " &amp; IF(ISBLANK(tblDeveloper[[#This Row],[Types]]), "String", tblDeveloper[[#This Row],[Types]])</f>
        <v>Public Agent As String</v>
      </c>
      <c r="F10" s="41" t="str">
        <f>IF(ISBLANK(DevEnumPrefix), "", tblDeveloper[[#This Row],[VBA Names]] &amp; " = " &amp; "values(1, " &amp; DevEnumPrefix &amp; tblDeveloper[[#This Row],[VBA Names]] &amp; ")")</f>
        <v>Agent = values(1, xtrmAgent)</v>
      </c>
    </row>
    <row r="11" spans="1:6" x14ac:dyDescent="0.25">
      <c r="A11" s="1" t="s">
        <v>84</v>
      </c>
      <c r="C11" s="40" t="str">
        <f>_xlfn.REGEXREPLACE(tblDeveloper[[#This Row],[Headers]], "\W", "")</f>
        <v>DisplayId</v>
      </c>
      <c r="D11" s="41" t="str">
        <f>IF(DevEnumPrefix = "", "",DevEnumPrefix &amp; tblDeveloper[[#This Row],[VBA Names]] &amp; IF(ROW() = 7, " = 1", ""))</f>
        <v>xtrmDisplayId</v>
      </c>
      <c r="E11" s="41" t="str">
        <f xml:space="preserve"> IF(ISBLANK(DevVarPrefix), "", DevVarPrefix &amp; " ") &amp; tblDeveloper[[#This Row],[VBA Names]] &amp; " As " &amp; IF(ISBLANK(tblDeveloper[[#This Row],[Types]]), "String", tblDeveloper[[#This Row],[Types]])</f>
        <v>Public DisplayId As String</v>
      </c>
      <c r="F11" s="41" t="str">
        <f>IF(ISBLANK(DevEnumPrefix), "", tblDeveloper[[#This Row],[VBA Names]] &amp; " = " &amp; "values(1, " &amp; DevEnumPrefix &amp; tblDeveloper[[#This Row],[VBA Names]] &amp; ")")</f>
        <v>DisplayId = values(1, xtrmDisplayId)</v>
      </c>
    </row>
    <row r="12" spans="1:6" x14ac:dyDescent="0.25">
      <c r="A12" s="1" t="s">
        <v>83</v>
      </c>
      <c r="C12" s="40" t="str">
        <f>_xlfn.REGEXREPLACE(tblDeveloper[[#This Row],[Headers]], "\W", "")</f>
        <v>Display</v>
      </c>
      <c r="D12" s="41" t="str">
        <f>IF(DevEnumPrefix = "", "",DevEnumPrefix &amp; tblDeveloper[[#This Row],[VBA Names]] &amp; IF(ROW() = 7, " = 1", ""))</f>
        <v>xtrmDisplay</v>
      </c>
      <c r="E12" s="41" t="str">
        <f xml:space="preserve"> IF(ISBLANK(DevVarPrefix), "", DevVarPrefix &amp; " ") &amp; tblDeveloper[[#This Row],[VBA Names]] &amp; " As " &amp; IF(ISBLANK(tblDeveloper[[#This Row],[Types]]), "String", tblDeveloper[[#This Row],[Types]])</f>
        <v>Public Display As String</v>
      </c>
      <c r="F12" s="41" t="str">
        <f>IF(ISBLANK(DevEnumPrefix), "", tblDeveloper[[#This Row],[VBA Names]] &amp; " = " &amp; "values(1, " &amp; DevEnumPrefix &amp; tblDeveloper[[#This Row],[VBA Names]] &amp; ")")</f>
        <v>Display = values(1, xtrmDisplay)</v>
      </c>
    </row>
    <row r="13" spans="1:6" x14ac:dyDescent="0.25">
      <c r="A13" s="1" t="s">
        <v>89</v>
      </c>
      <c r="C13" s="40" t="str">
        <f>_xlfn.REGEXREPLACE(tblDeveloper[[#This Row],[Headers]], "\W", "")</f>
        <v>SearchTerm</v>
      </c>
      <c r="D13" s="41" t="str">
        <f>IF(DevEnumPrefix = "", "",DevEnumPrefix &amp; tblDeveloper[[#This Row],[VBA Names]] &amp; IF(ROW() = 7, " = 1", ""))</f>
        <v>xtrmSearchTerm</v>
      </c>
      <c r="E13" s="41" t="str">
        <f xml:space="preserve"> IF(ISBLANK(DevVarPrefix), "", DevVarPrefix &amp; " ") &amp; tblDeveloper[[#This Row],[VBA Names]] &amp; " As " &amp; IF(ISBLANK(tblDeveloper[[#This Row],[Types]]), "String", tblDeveloper[[#This Row],[Types]])</f>
        <v>Public SearchTerm As String</v>
      </c>
      <c r="F13" s="41" t="str">
        <f>IF(ISBLANK(DevEnumPrefix), "", tblDeveloper[[#This Row],[VBA Names]] &amp; " = " &amp; "values(1, " &amp; DevEnumPrefix &amp; tblDeveloper[[#This Row],[VBA Names]] &amp; ")")</f>
        <v>SearchTerm = values(1, xtrmSearchTerm)</v>
      </c>
    </row>
  </sheetData>
  <phoneticPr fontId="15" type="noConversion"/>
  <dataValidations count="2">
    <dataValidation type="list" allowBlank="1" showInputMessage="1" showErrorMessage="1" sqref="B7:B13" xr:uid="{AF5F9E5B-8224-467D-AF02-E5B0C8297A40}">
      <formula1>"Date,Currency,Double,Long,Int"</formula1>
    </dataValidation>
    <dataValidation type="list" allowBlank="1" showInputMessage="1" showErrorMessage="1" sqref="B4" xr:uid="{74BAC7AD-E2A5-4273-8721-ACE231D50B21}">
      <formula1>"Public,Private"</formula1>
    </dataValidation>
  </dataValidations>
  <pageMargins left="0.7" right="0.7" top="0.78740157499999996" bottom="0.78740157499999996"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E022242B0FA754895983687E40C5944" ma:contentTypeVersion="12" ma:contentTypeDescription="Ein neues Dokument erstellen." ma:contentTypeScope="" ma:versionID="c709fd2c460d101a9894bfec1ffe17a8">
  <xsd:schema xmlns:xsd="http://www.w3.org/2001/XMLSchema" xmlns:xs="http://www.w3.org/2001/XMLSchema" xmlns:p="http://schemas.microsoft.com/office/2006/metadata/properties" xmlns:ns2="51ef5d3b-d653-42a4-add8-264426d78878" xmlns:ns3="c7246570-ebc5-4d46-bfb6-2bb15f49e607" targetNamespace="http://schemas.microsoft.com/office/2006/metadata/properties" ma:root="true" ma:fieldsID="3250aadd5a20346ab12418904b8498cf" ns2:_="" ns3:_="">
    <xsd:import namespace="51ef5d3b-d653-42a4-add8-264426d78878"/>
    <xsd:import namespace="c7246570-ebc5-4d46-bfb6-2bb15f49e60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ef5d3b-d653-42a4-add8-264426d788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7a838f58-fd73-42ff-b9ee-0ffd44b2bd0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246570-ebc5-4d46-bfb6-2bb15f49e607"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5afc808e-9239-488e-acde-ab6f06d36a05}" ma:internalName="TaxCatchAll" ma:showField="CatchAllData" ma:web="c7246570-ebc5-4d46-bfb6-2bb15f49e6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ef5d3b-d653-42a4-add8-264426d78878">
      <Terms xmlns="http://schemas.microsoft.com/office/infopath/2007/PartnerControls"/>
    </lcf76f155ced4ddcb4097134ff3c332f>
    <TaxCatchAll xmlns="c7246570-ebc5-4d46-bfb6-2bb15f49e607" xsi:nil="true"/>
  </documentManagement>
</p:properties>
</file>

<file path=customXml/item4.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AFEJSONBlob>
</file>

<file path=customXml/itemProps1.xml><?xml version="1.0" encoding="utf-8"?>
<ds:datastoreItem xmlns:ds="http://schemas.openxmlformats.org/officeDocument/2006/customXml" ds:itemID="{3B250032-E54A-4E3A-AF55-8FAD36FF88E1}">
  <ds:schemaRefs>
    <ds:schemaRef ds:uri="http://schemas.microsoft.com/sharepoint/v3/contenttype/forms"/>
  </ds:schemaRefs>
</ds:datastoreItem>
</file>

<file path=customXml/itemProps2.xml><?xml version="1.0" encoding="utf-8"?>
<ds:datastoreItem xmlns:ds="http://schemas.openxmlformats.org/officeDocument/2006/customXml" ds:itemID="{81839D62-624D-40B4-BF52-185460A29D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ef5d3b-d653-42a4-add8-264426d78878"/>
    <ds:schemaRef ds:uri="c7246570-ebc5-4d46-bfb6-2bb15f49e6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AFCC1F-3E83-42DC-B2B1-A1F3B6D9B6B2}">
  <ds:schemaRefs>
    <ds:schemaRef ds:uri="http://schemas.microsoft.com/office/2006/metadata/properties"/>
    <ds:schemaRef ds:uri="http://schemas.microsoft.com/office/infopath/2007/PartnerControls"/>
    <ds:schemaRef ds:uri="51ef5d3b-d653-42a4-add8-264426d78878"/>
    <ds:schemaRef ds:uri="c7246570-ebc5-4d46-bfb6-2bb15f49e607"/>
  </ds:schemaRefs>
</ds:datastoreItem>
</file>

<file path=customXml/itemProps4.xml><?xml version="1.0" encoding="utf-8"?>
<ds:datastoreItem xmlns:ds="http://schemas.openxmlformats.org/officeDocument/2006/customXml" ds:itemID="{BA60D933-98D7-429C-BDF0-C84E2D2C8C7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10</vt:i4>
      </vt:variant>
    </vt:vector>
  </HeadingPairs>
  <TitlesOfParts>
    <vt:vector size="14" baseType="lpstr">
      <vt:lpstr>Übersicht</vt:lpstr>
      <vt:lpstr>Termine</vt:lpstr>
      <vt:lpstr>Angebote</vt:lpstr>
      <vt:lpstr>Einstellungen</vt:lpstr>
      <vt:lpstr>AngebotArt</vt:lpstr>
      <vt:lpstr>BundesLandKurz</vt:lpstr>
      <vt:lpstr>DevEnumPrefix</vt:lpstr>
      <vt:lpstr>DevVarPrefix</vt:lpstr>
      <vt:lpstr>Übersicht!Druckbereich</vt:lpstr>
      <vt:lpstr>Einstellungen!Jahr</vt:lpstr>
      <vt:lpstr>SelectedMitarbeiter</vt:lpstr>
      <vt:lpstr>TerminArten</vt:lpstr>
      <vt:lpstr>TerminMitarbeiter</vt:lpstr>
      <vt:lpstr>TerminStichtag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Joachim Meyer</dc:creator>
  <cp:keywords/>
  <dc:description/>
  <cp:lastModifiedBy>Joachim Meyer</cp:lastModifiedBy>
  <cp:revision/>
  <cp:lastPrinted>2026-04-26T15:20:31Z</cp:lastPrinted>
  <dcterms:created xsi:type="dcterms:W3CDTF">2026-01-23T18:38:40Z</dcterms:created>
  <dcterms:modified xsi:type="dcterms:W3CDTF">2026-04-29T05:22:25Z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0x010100CE022242B0FA754895983687E40C5944</vt:lpwstr>
  </property>
  <property fmtid="{D5CDD505-2E9C-101B-9397-08002B2CF9AE}" pid="3" name="MediaServiceImageTags">
    <vt:lpwstr/>
  </property>
</Properties>
</file>