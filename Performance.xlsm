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X:\Vertiebsreport\"/>
    </mc:Choice>
  </mc:AlternateContent>
  <xr:revisionPtr revIDLastSave="0" documentId="13_ncr:1_{EB73388D-288D-4992-8F82-C4B62C0892AC}" xr6:coauthVersionLast="47" xr6:coauthVersionMax="47" xr10:uidLastSave="{00000000-0000-0000-0000-000000000000}"/>
  <bookViews>
    <workbookView xWindow="-120" yWindow="-120" windowWidth="38640" windowHeight="21120" xr2:uid="{E86F0C4E-4C2D-4004-AEF0-4ACCB735D057}"/>
  </bookViews>
  <sheets>
    <sheet name="Übersicht" sheetId="10" r:id="rId1"/>
    <sheet name="Termine" sheetId="8" r:id="rId2"/>
    <sheet name="Angebote" sheetId="12" r:id="rId3"/>
    <sheet name="Einstellungen" sheetId="4" r:id="rId4"/>
    <sheet name="Developer" sheetId="11" state="veryHidden" r:id="rId5"/>
  </sheets>
  <functionGroups builtInGroupCount="19"/>
  <definedNames>
    <definedName name="_xleta.CHAR" hidden="1" xlm="1">#NAME?</definedName>
    <definedName name="_xleta.COUNTIF" hidden="1" xlm="1">#NAME?</definedName>
    <definedName name="_xleta.DATE" hidden="1" xlm="1">#NAME?</definedName>
    <definedName name="_xleta.T" hidden="1" xlm="1">#NAME?</definedName>
    <definedName name="_xleta.TEXT" hidden="1" xlm="1">#NAME?</definedName>
    <definedName name="_xleta.VALUE" hidden="1" xlm="1">#NAME?</definedName>
    <definedName name="_xlpm.accum" hidden="1" xlm="1">#NAME?</definedName>
    <definedName name="_xlpm.Agent" hidden="1" xlm="1">#NAME?</definedName>
    <definedName name="_xlpm.d" hidden="1" xlm="1">#NAME?</definedName>
    <definedName name="_xlpm.da" hidden="1" xlm="1">#NAME?</definedName>
    <definedName name="_xlpm.dat" hidden="1" xlm="1">#NAME?</definedName>
    <definedName name="_xlpm.datu" hidden="1" xlm="1">#NAME?</definedName>
    <definedName name="_xlpm.Datum" hidden="1" xlm="1">#NAME?</definedName>
    <definedName name="_xlpm.id" hidden="1" xlm="1">#NAME?</definedName>
    <definedName name="_xlpm.Jahr" hidden="1" xlm="1">#NAME?</definedName>
    <definedName name="_xlpm.KW" hidden="1" xlm="1">#NAME?</definedName>
    <definedName name="_xlpm.KWJahr" hidden="1" xlm="1">#NAME?</definedName>
    <definedName name="_xlpm.Mitarbeiter" hidden="1" xlm="1">#NAME?</definedName>
    <definedName name="_xlpm.Name" hidden="1" xlm="1">#NAME?</definedName>
    <definedName name="_xlpm.new" hidden="1" xlm="1">#NAME?</definedName>
    <definedName name="_xlpm.row" hidden="1" xlm="1">#NAME?</definedName>
    <definedName name="_xlpm.summe" hidden="1" xlm="1">#NAME?</definedName>
    <definedName name="_xlpm.TerminArt" hidden="1" xlm="1">#NAME?</definedName>
    <definedName name="_xlpm.vals" hidden="1" xlm="1">#NAME?</definedName>
    <definedName name="_xlpm.wert" hidden="1" xlm="1">#NAME?</definedName>
    <definedName name="_xlpm.x" hidden="1" xlm="1">#NAME?</definedName>
    <definedName name="_xlpm.y" hidden="1" xlm="1">#NAME?</definedName>
    <definedName name="AngebotArt">tblAngebotArt[Angebotarten]</definedName>
    <definedName name="BundesLandKurz">tblBundesländer[Kurz]</definedName>
    <definedName name="Datenschnitt_Jahr">#N/A</definedName>
    <definedName name="Datenschnitt_Mitarbeiter">#N/A</definedName>
    <definedName name="Datenschnitt_Terminart">#N/A</definedName>
    <definedName name="DevEnumPrefix">Developer!$B$3</definedName>
    <definedName name="DevVarPrefix">Developer!$B$4</definedName>
    <definedName name="_xlnm.Print_Area" localSheetId="0">Übersicht!$C$1:$P$31</definedName>
    <definedName name="Jahr" localSheetId="3">Einstellungen!$V$1</definedName>
    <definedName name="KWAktuell">_xlfn.LAMBDA(_xlpm.KW,WEEKNUM(TODAY(), 2) = WEEKNUM(_xlpm.KW, 2))</definedName>
    <definedName name="KWStart">_xlfn.LAMBDA(_xlpm.KWJahr,_xlpm.KW,DATE(_xlpm.KWJahr, 1, 1) + (_xlpm.KW - 1) * 7 - WEEKDAY(DATE(_xlpm.KWJahr, 1, 1), 2) + 1)</definedName>
    <definedName name="MakeSearchTerm">_xlfn.LAMBDA(_xlpm.Name,_xlpm.Datum,_xlpm.Name &amp; " - " &amp; TEXT(_xlpm.Datum, "JJ-MM-TT"))</definedName>
    <definedName name="Ostersonntag">_xlfn.LAMBDA(_xlpm.Jahr,DATE(_xlpm.Jahr, 3, 28) + MOD(24 - MOD(_xlpm.Jahr, 19) * 10.63, 29) - MOD(TRUNC(_xlpm.Jahr * 5 / 4) + MOD(24 - MOD(_xlpm.Jahr, 19) * 10.63, 29) + 1, 7))</definedName>
    <definedName name="SelectedMitarbeiter">Übersicht!$C$5</definedName>
    <definedName name="TerminAnTag">_xlfn.LAMBDA(_xlpm.Mitarbeiter,_xlpm.Datum,_xlfn._xlws.FILTER(tblTermine[Display], tblTermine[SearchTerm] = MakeSearchTerm(_xlpm.Mitarbeiter, _xlpm.Datum), ""))</definedName>
    <definedName name="TerminArtDisplay">_xlfn.LAMBDA(_xlpm.TerminArt,_xlpm.Agent,_xlfn.LET(_xlpm.id, TerminArtId(_xlpm.TerminArt, _xlpm.Agent), _xlfn.IFS(_xlpm.id = 11, "Eigentermin", _xlpm.id = 12, "Bestand", _xlpm.id = 13, "Alt-KB", _xlpm.id = 21, "Neu (" &amp; _xlpm.Agent &amp; ")", _xlpm.id = 22, "Bestand (" &amp; _xlpm.Agent &amp; ")", _xlpm.id = 23, "Alt-KB (" &amp; _xlpm.Agent &amp; ")", _xlpm.id = 31, "Urlaub", _xlpm.id = 32, "Feiertag", TRUE(), "FEHLER")))</definedName>
    <definedName name="TerminArten">tblTerminArten[Terminarten]</definedName>
    <definedName name="TerminArtId">_xlfn.LAMBDA(_xlpm.TerminArt,_xlpm.Agent,_xlfn.LET(_xlpm.id, _xlfn.IFS(_xlpm.TerminArt = "Neu", 11, _xlpm.TerminArt = "Bestand", 12, _xlpm.TerminArt = "Alt-KB", 13, _xlpm.TerminArt = "Urlaub", 31, _xlpm.TerminArt = "Feiertag", 32, TRUE(), 0), IF(_xlpm.Agent = "", _xlpm.id, _xlpm.id + 10)))</definedName>
    <definedName name="TerminMitarbeiter">Übersicht!$L$3</definedName>
    <definedName name="TerminStichtag">Übersicht!$D$1</definedName>
    <definedName name="VBNames">_xlfn.ANCHORARRAY(Einstellungen!$O$22)</definedName>
  </definedNames>
  <calcPr calcId="191029"/>
  <pivotCaches>
    <pivotCache cacheId="0"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8" l="1"/>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F48" i="8" a="1"/>
  <c r="F48" i="8" s="1"/>
  <c r="G48" i="8" a="1"/>
  <c r="G48" i="8" s="1"/>
  <c r="H48" i="8" a="1"/>
  <c r="H48" i="8" s="1"/>
  <c r="F47" i="8" a="1"/>
  <c r="F47" i="8" s="1"/>
  <c r="G47" i="8" a="1"/>
  <c r="G47" i="8" s="1"/>
  <c r="H47" i="8" a="1"/>
  <c r="H47" i="8" s="1"/>
  <c r="F46" i="8" a="1"/>
  <c r="F46" i="8" s="1"/>
  <c r="G46" i="8" a="1"/>
  <c r="G46" i="8" s="1"/>
  <c r="H46" i="8" a="1"/>
  <c r="H46" i="8" s="1"/>
  <c r="F40" i="8" a="1"/>
  <c r="F40" i="8" s="1"/>
  <c r="F44" i="8" a="1"/>
  <c r="F44" i="8" s="1"/>
  <c r="F45" i="8" a="1"/>
  <c r="F45" i="8" s="1"/>
  <c r="G40" i="8" a="1"/>
  <c r="G40" i="8" s="1"/>
  <c r="G44" i="8" a="1"/>
  <c r="G44" i="8" s="1"/>
  <c r="G45" i="8" a="1"/>
  <c r="G45" i="8" s="1"/>
  <c r="H40" i="8" a="1"/>
  <c r="H40" i="8" s="1"/>
  <c r="H44" i="8" a="1"/>
  <c r="H44" i="8" s="1"/>
  <c r="H45" i="8" a="1"/>
  <c r="H45" i="8" s="1"/>
  <c r="F39" i="8" a="1"/>
  <c r="F39" i="8" s="1"/>
  <c r="G39" i="8" a="1"/>
  <c r="G39" i="8" s="1"/>
  <c r="H39" i="8" a="1"/>
  <c r="H39" i="8" s="1"/>
  <c r="F33" i="8" a="1"/>
  <c r="F33" i="8" s="1"/>
  <c r="G33" i="8" a="1"/>
  <c r="G33" i="8" s="1"/>
  <c r="H33" i="8" a="1"/>
  <c r="H33" i="8" s="1"/>
  <c r="F43" i="8" a="1"/>
  <c r="F43" i="8" s="1"/>
  <c r="G43" i="8" a="1"/>
  <c r="G43" i="8" s="1"/>
  <c r="H43" i="8" a="1"/>
  <c r="H43" i="8" s="1"/>
  <c r="F3" i="12"/>
  <c r="F4" i="12"/>
  <c r="F5" i="12"/>
  <c r="F6" i="12"/>
  <c r="F7" i="12"/>
  <c r="F8" i="12"/>
  <c r="F9" i="12"/>
  <c r="F10" i="12"/>
  <c r="F11" i="12"/>
  <c r="F12" i="12"/>
  <c r="F13" i="12"/>
  <c r="F14" i="12"/>
  <c r="F15" i="12"/>
  <c r="F42" i="8" a="1"/>
  <c r="F42" i="8" s="1"/>
  <c r="G42" i="8" a="1"/>
  <c r="G42" i="8" s="1"/>
  <c r="H42" i="8" a="1"/>
  <c r="H42" i="8" s="1"/>
  <c r="F41" i="8" a="1"/>
  <c r="F41" i="8" s="1"/>
  <c r="G41" i="8" a="1"/>
  <c r="G41" i="8" s="1"/>
  <c r="H41" i="8" a="1"/>
  <c r="H41" i="8" s="1"/>
  <c r="D42" i="4"/>
  <c r="E42" i="4"/>
  <c r="F42" i="4"/>
  <c r="G42" i="4"/>
  <c r="H42" i="4"/>
  <c r="I42" i="4"/>
  <c r="J42" i="4"/>
  <c r="C42" i="4"/>
  <c r="M3" i="4" a="1"/>
  <c r="M3" i="4" s="1"/>
  <c r="M4" i="4" a="1"/>
  <c r="M4" i="4" s="1"/>
  <c r="M5" i="4" a="1"/>
  <c r="M5" i="4" s="1"/>
  <c r="M6" i="4" a="1"/>
  <c r="M6" i="4" s="1"/>
  <c r="M7" i="4" a="1"/>
  <c r="M7" i="4" s="1"/>
  <c r="M8" i="4" a="1"/>
  <c r="M8" i="4" s="1"/>
  <c r="M9" i="4" a="1"/>
  <c r="M9" i="4" s="1"/>
  <c r="M10" i="4" a="1"/>
  <c r="M10" i="4" s="1"/>
  <c r="C20" i="10"/>
  <c r="L19" i="10" s="1"/>
  <c r="I3" i="4"/>
  <c r="J3" i="4"/>
  <c r="I12" i="4"/>
  <c r="J12" i="4"/>
  <c r="I25" i="4"/>
  <c r="J25" i="4"/>
  <c r="I41" i="4"/>
  <c r="J41" i="4"/>
  <c r="I4" i="4"/>
  <c r="J4" i="4"/>
  <c r="I5" i="4"/>
  <c r="J5" i="4"/>
  <c r="I6" i="4"/>
  <c r="J6" i="4"/>
  <c r="I7" i="4"/>
  <c r="J7" i="4"/>
  <c r="I8" i="4"/>
  <c r="J8" i="4"/>
  <c r="I21" i="4"/>
  <c r="J21" i="4"/>
  <c r="I22" i="4"/>
  <c r="J22" i="4"/>
  <c r="I23" i="4"/>
  <c r="J23" i="4"/>
  <c r="I24" i="4"/>
  <c r="J24" i="4"/>
  <c r="I26" i="4"/>
  <c r="J26" i="4"/>
  <c r="I27" i="4"/>
  <c r="J27" i="4"/>
  <c r="I28" i="4"/>
  <c r="J28" i="4"/>
  <c r="I29" i="4"/>
  <c r="J29" i="4"/>
  <c r="I30" i="4"/>
  <c r="J30" i="4"/>
  <c r="I32" i="4"/>
  <c r="J32" i="4"/>
  <c r="I33" i="4"/>
  <c r="J33" i="4"/>
  <c r="I31" i="4"/>
  <c r="J31" i="4"/>
  <c r="I34" i="4"/>
  <c r="J34" i="4"/>
  <c r="I35" i="4"/>
  <c r="J35" i="4"/>
  <c r="I36" i="4"/>
  <c r="J36" i="4"/>
  <c r="I37" i="4"/>
  <c r="J37" i="4"/>
  <c r="I38" i="4"/>
  <c r="J38" i="4"/>
  <c r="I39" i="4"/>
  <c r="J39" i="4"/>
  <c r="I40" i="4"/>
  <c r="J40" i="4"/>
  <c r="D41" i="4"/>
  <c r="E41" i="4"/>
  <c r="F41" i="4"/>
  <c r="G41" i="4"/>
  <c r="H41" i="4"/>
  <c r="D25" i="4"/>
  <c r="E25" i="4"/>
  <c r="F25" i="4"/>
  <c r="G25" i="4"/>
  <c r="H25" i="4"/>
  <c r="C41" i="4"/>
  <c r="C25" i="4"/>
  <c r="D12" i="4"/>
  <c r="E12" i="4"/>
  <c r="F12" i="4"/>
  <c r="G12" i="4"/>
  <c r="H12" i="4"/>
  <c r="C12" i="4"/>
  <c r="C8" i="11"/>
  <c r="C9" i="11"/>
  <c r="C10" i="11"/>
  <c r="C11" i="11"/>
  <c r="C12" i="11"/>
  <c r="C13" i="11"/>
  <c r="D8" i="11"/>
  <c r="D9" i="11"/>
  <c r="D10" i="11"/>
  <c r="D12" i="11"/>
  <c r="D13" i="11"/>
  <c r="E8" i="11"/>
  <c r="E9" i="11"/>
  <c r="E10" i="11"/>
  <c r="E12" i="11"/>
  <c r="E13" i="11"/>
  <c r="F8" i="11"/>
  <c r="F9" i="11"/>
  <c r="F10" i="11"/>
  <c r="F12" i="11"/>
  <c r="F13" i="11"/>
  <c r="C7" i="11"/>
  <c r="O22" i="4" a="1"/>
  <c r="F36" i="8" a="1"/>
  <c r="F36" i="8" s="1"/>
  <c r="F34" i="8" a="1"/>
  <c r="F34" i="8" s="1"/>
  <c r="F31" i="8" a="1"/>
  <c r="F31" i="8" s="1"/>
  <c r="F29" i="8" a="1"/>
  <c r="F29" i="8" s="1"/>
  <c r="F27" i="8" a="1"/>
  <c r="F27" i="8" s="1"/>
  <c r="F24" i="8" a="1"/>
  <c r="F24" i="8" s="1"/>
  <c r="F25" i="8" a="1"/>
  <c r="F25" i="8" s="1"/>
  <c r="F20" i="8" a="1"/>
  <c r="F20" i="8" s="1"/>
  <c r="F21" i="8" a="1"/>
  <c r="F21" i="8" s="1"/>
  <c r="F3" i="8" a="1"/>
  <c r="F3" i="8" s="1"/>
  <c r="F7" i="8" a="1"/>
  <c r="F7" i="8" s="1"/>
  <c r="F5" i="8" a="1"/>
  <c r="F5" i="8" s="1"/>
  <c r="F14" i="8" a="1"/>
  <c r="F14" i="8" s="1"/>
  <c r="F11" i="8" a="1"/>
  <c r="F11" i="8" s="1"/>
  <c r="F12" i="8" a="1"/>
  <c r="F12" i="8" s="1"/>
  <c r="F8" i="8" a="1"/>
  <c r="F8" i="8" s="1"/>
  <c r="F6" i="8" a="1"/>
  <c r="F6" i="8" s="1"/>
  <c r="F4" i="8" a="1"/>
  <c r="F4" i="8" s="1"/>
  <c r="G36" i="8" a="1"/>
  <c r="G36" i="8" s="1"/>
  <c r="G34" i="8" a="1"/>
  <c r="G34" i="8" s="1"/>
  <c r="G31" i="8" a="1"/>
  <c r="G31" i="8" s="1"/>
  <c r="G29" i="8" a="1"/>
  <c r="G29" i="8" s="1"/>
  <c r="G27" i="8" a="1"/>
  <c r="G27" i="8" s="1"/>
  <c r="G24" i="8" a="1"/>
  <c r="G24" i="8" s="1"/>
  <c r="G25" i="8" a="1"/>
  <c r="G25" i="8" s="1"/>
  <c r="G20" i="8" a="1"/>
  <c r="G20" i="8" s="1"/>
  <c r="G21" i="8" a="1"/>
  <c r="G21" i="8" s="1"/>
  <c r="G3" i="8" a="1"/>
  <c r="G3" i="8" s="1"/>
  <c r="G7" i="8" a="1"/>
  <c r="G7" i="8" s="1"/>
  <c r="G5" i="8" a="1"/>
  <c r="G5" i="8" s="1"/>
  <c r="G14" i="8" a="1"/>
  <c r="G14" i="8" s="1"/>
  <c r="G11" i="8" a="1"/>
  <c r="G11" i="8" s="1"/>
  <c r="G12" i="8" a="1"/>
  <c r="G12" i="8" s="1"/>
  <c r="G8" i="8" a="1"/>
  <c r="G8" i="8" s="1"/>
  <c r="G6" i="8" a="1"/>
  <c r="G6" i="8" s="1"/>
  <c r="G4" i="8" a="1"/>
  <c r="G4" i="8" s="1"/>
  <c r="H36" i="8" a="1"/>
  <c r="H36" i="8" s="1"/>
  <c r="H34" i="8" a="1"/>
  <c r="H34" i="8" s="1"/>
  <c r="H31" i="8" a="1"/>
  <c r="H31" i="8" s="1"/>
  <c r="H29" i="8" a="1"/>
  <c r="H29" i="8" s="1"/>
  <c r="H27" i="8" a="1"/>
  <c r="H27" i="8" s="1"/>
  <c r="H24" i="8" a="1"/>
  <c r="H24" i="8" s="1"/>
  <c r="H25" i="8" a="1"/>
  <c r="H25" i="8" s="1"/>
  <c r="H20" i="8" a="1"/>
  <c r="H20" i="8" s="1"/>
  <c r="H21" i="8" a="1"/>
  <c r="H21" i="8" s="1"/>
  <c r="H3" i="8" a="1"/>
  <c r="H3" i="8" s="1"/>
  <c r="H7" i="8" a="1"/>
  <c r="H7" i="8" s="1"/>
  <c r="H5" i="8" a="1"/>
  <c r="H5" i="8" s="1"/>
  <c r="H14" i="8" a="1"/>
  <c r="H14" i="8" s="1"/>
  <c r="H11" i="8" a="1"/>
  <c r="H11" i="8" s="1"/>
  <c r="H12" i="8" a="1"/>
  <c r="H12" i="8" s="1"/>
  <c r="H8" i="8" a="1"/>
  <c r="H8" i="8" s="1"/>
  <c r="H6" i="8" a="1"/>
  <c r="H6" i="8" s="1"/>
  <c r="H4" i="8" a="1"/>
  <c r="H4" i="8" s="1"/>
  <c r="F23" i="8" a="1"/>
  <c r="F23" i="8" s="1"/>
  <c r="G23" i="8" a="1"/>
  <c r="G23" i="8" s="1"/>
  <c r="H23" i="8" a="1"/>
  <c r="H23" i="8" s="1"/>
  <c r="H9" i="8" a="1"/>
  <c r="H9" i="8" s="1"/>
  <c r="H10" i="8" a="1"/>
  <c r="H10" i="8" s="1"/>
  <c r="H13" i="8" a="1"/>
  <c r="H13" i="8" s="1"/>
  <c r="H15" i="8" a="1"/>
  <c r="H15" i="8" s="1"/>
  <c r="H16" i="8" a="1"/>
  <c r="H16" i="8" s="1"/>
  <c r="H17" i="8" a="1"/>
  <c r="H17" i="8" s="1"/>
  <c r="H38" i="8" a="1"/>
  <c r="H38" i="8" s="1"/>
  <c r="H18" i="8" a="1"/>
  <c r="H18" i="8" s="1"/>
  <c r="H19" i="8" a="1"/>
  <c r="H19" i="8" s="1"/>
  <c r="H22" i="8" a="1"/>
  <c r="H22" i="8" s="1"/>
  <c r="H26" i="8" a="1"/>
  <c r="H26" i="8" s="1"/>
  <c r="H28" i="8" a="1"/>
  <c r="H28" i="8" s="1"/>
  <c r="H30" i="8" a="1"/>
  <c r="H30" i="8" s="1"/>
  <c r="H32" i="8" a="1"/>
  <c r="H32" i="8" s="1"/>
  <c r="H35" i="8" a="1"/>
  <c r="H35" i="8" s="1"/>
  <c r="H37" i="8" a="1"/>
  <c r="H37" i="8" s="1"/>
  <c r="G9" i="8" a="1"/>
  <c r="G9" i="8" s="1"/>
  <c r="G10" i="8" a="1"/>
  <c r="G10" i="8" s="1"/>
  <c r="G13" i="8" a="1"/>
  <c r="G13" i="8" s="1"/>
  <c r="G15" i="8" a="1"/>
  <c r="G15" i="8" s="1"/>
  <c r="G16" i="8" a="1"/>
  <c r="G16" i="8" s="1"/>
  <c r="G17" i="8" a="1"/>
  <c r="G17" i="8" s="1"/>
  <c r="G38" i="8" a="1"/>
  <c r="G38" i="8" s="1"/>
  <c r="G18" i="8" a="1"/>
  <c r="G18" i="8" s="1"/>
  <c r="G19" i="8" a="1"/>
  <c r="G19" i="8" s="1"/>
  <c r="G22" i="8" a="1"/>
  <c r="G22" i="8" s="1"/>
  <c r="G26" i="8" a="1"/>
  <c r="G26" i="8" s="1"/>
  <c r="G28" i="8" a="1"/>
  <c r="G28" i="8" s="1"/>
  <c r="G30" i="8" a="1"/>
  <c r="G30" i="8" s="1"/>
  <c r="G32" i="8" a="1"/>
  <c r="G32" i="8" s="1"/>
  <c r="G35" i="8" a="1"/>
  <c r="G35" i="8" s="1"/>
  <c r="G37" i="8" a="1"/>
  <c r="G37" i="8" s="1"/>
  <c r="F35" i="8" a="1"/>
  <c r="F35" i="8" s="1"/>
  <c r="F37" i="8" a="1"/>
  <c r="F37" i="8" s="1"/>
  <c r="F9" i="8" a="1"/>
  <c r="F9" i="8" s="1"/>
  <c r="F10" i="8" a="1"/>
  <c r="F10" i="8" s="1"/>
  <c r="F13" i="8" a="1"/>
  <c r="F13" i="8" s="1"/>
  <c r="F15" i="8" a="1"/>
  <c r="F15" i="8" s="1"/>
  <c r="F16" i="8" a="1"/>
  <c r="F16" i="8" s="1"/>
  <c r="F17" i="8" a="1"/>
  <c r="F17" i="8" s="1"/>
  <c r="F38" i="8" a="1"/>
  <c r="F38" i="8" s="1"/>
  <c r="F18" i="8" a="1"/>
  <c r="F18" i="8" s="1"/>
  <c r="F19" i="8" a="1"/>
  <c r="F19" i="8" s="1"/>
  <c r="F22" i="8" a="1"/>
  <c r="F22" i="8" s="1"/>
  <c r="F26" i="8" a="1"/>
  <c r="F26" i="8" s="1"/>
  <c r="F28" i="8" a="1"/>
  <c r="F28" i="8" s="1"/>
  <c r="F30" i="8" a="1"/>
  <c r="F30" i="8" s="1"/>
  <c r="F32" i="8" a="1"/>
  <c r="F32" i="8" s="1"/>
  <c r="H40" i="4"/>
  <c r="G40" i="4"/>
  <c r="F40" i="4"/>
  <c r="E40" i="4"/>
  <c r="D40" i="4"/>
  <c r="C40" i="4"/>
  <c r="H39" i="4"/>
  <c r="G39" i="4"/>
  <c r="F39" i="4"/>
  <c r="E39" i="4"/>
  <c r="D39" i="4"/>
  <c r="C39" i="4"/>
  <c r="H38" i="4"/>
  <c r="G38" i="4"/>
  <c r="F38" i="4"/>
  <c r="E38" i="4"/>
  <c r="D38" i="4"/>
  <c r="C38" i="4"/>
  <c r="H37" i="4"/>
  <c r="G37" i="4"/>
  <c r="F37" i="4"/>
  <c r="E37" i="4"/>
  <c r="D37" i="4"/>
  <c r="C37" i="4"/>
  <c r="H36" i="4"/>
  <c r="G36" i="4"/>
  <c r="F36" i="4"/>
  <c r="E36" i="4"/>
  <c r="D36" i="4"/>
  <c r="C36" i="4"/>
  <c r="H35" i="4"/>
  <c r="G35" i="4"/>
  <c r="F35" i="4"/>
  <c r="E35" i="4"/>
  <c r="D35" i="4"/>
  <c r="C35" i="4"/>
  <c r="H34" i="4"/>
  <c r="G34" i="4"/>
  <c r="F34" i="4"/>
  <c r="E34" i="4"/>
  <c r="D34" i="4"/>
  <c r="C34" i="4"/>
  <c r="H31" i="4"/>
  <c r="G31" i="4"/>
  <c r="F31" i="4"/>
  <c r="E31" i="4"/>
  <c r="D31" i="4"/>
  <c r="C31" i="4"/>
  <c r="H33" i="4"/>
  <c r="G33" i="4"/>
  <c r="F33" i="4"/>
  <c r="E33" i="4"/>
  <c r="D33" i="4"/>
  <c r="C33" i="4"/>
  <c r="H32" i="4"/>
  <c r="G32" i="4"/>
  <c r="F32" i="4"/>
  <c r="E32" i="4"/>
  <c r="D32" i="4"/>
  <c r="C32" i="4"/>
  <c r="H30" i="4"/>
  <c r="G30" i="4"/>
  <c r="F30" i="4"/>
  <c r="E30" i="4"/>
  <c r="D30" i="4"/>
  <c r="C30" i="4"/>
  <c r="H29" i="4"/>
  <c r="G29" i="4"/>
  <c r="F29" i="4"/>
  <c r="E29" i="4"/>
  <c r="D29" i="4"/>
  <c r="C29" i="4"/>
  <c r="H28" i="4"/>
  <c r="G28" i="4"/>
  <c r="F28" i="4"/>
  <c r="E28" i="4"/>
  <c r="D28" i="4"/>
  <c r="C28" i="4"/>
  <c r="H27" i="4"/>
  <c r="G27" i="4"/>
  <c r="F27" i="4"/>
  <c r="E27" i="4"/>
  <c r="D27" i="4"/>
  <c r="C27" i="4"/>
  <c r="H26" i="4"/>
  <c r="G26" i="4"/>
  <c r="F26" i="4"/>
  <c r="E26" i="4"/>
  <c r="D26" i="4"/>
  <c r="C26" i="4"/>
  <c r="H24" i="4"/>
  <c r="G24" i="4"/>
  <c r="F24" i="4"/>
  <c r="E24" i="4"/>
  <c r="D24" i="4"/>
  <c r="C24" i="4"/>
  <c r="H23" i="4"/>
  <c r="G23" i="4"/>
  <c r="F23" i="4"/>
  <c r="E23" i="4"/>
  <c r="D23" i="4"/>
  <c r="C23" i="4"/>
  <c r="H22" i="4"/>
  <c r="G22" i="4"/>
  <c r="F22" i="4"/>
  <c r="E22" i="4"/>
  <c r="D22" i="4"/>
  <c r="C22" i="4"/>
  <c r="H21" i="4"/>
  <c r="G21" i="4"/>
  <c r="F21" i="4"/>
  <c r="E21" i="4"/>
  <c r="D21" i="4"/>
  <c r="C21" i="4"/>
  <c r="H8" i="4"/>
  <c r="G8" i="4"/>
  <c r="F8" i="4"/>
  <c r="E8" i="4"/>
  <c r="D8" i="4"/>
  <c r="C8" i="4"/>
  <c r="H7" i="4"/>
  <c r="G7" i="4"/>
  <c r="F7" i="4"/>
  <c r="E7" i="4"/>
  <c r="D7" i="4"/>
  <c r="C7" i="4"/>
  <c r="H6" i="4"/>
  <c r="G6" i="4"/>
  <c r="F6" i="4"/>
  <c r="E6" i="4"/>
  <c r="D6" i="4"/>
  <c r="C6" i="4"/>
  <c r="H5" i="4"/>
  <c r="G5" i="4"/>
  <c r="F5" i="4"/>
  <c r="E5" i="4"/>
  <c r="D5" i="4"/>
  <c r="C5" i="4"/>
  <c r="H4" i="4"/>
  <c r="G4" i="4"/>
  <c r="F4" i="4"/>
  <c r="E4" i="4"/>
  <c r="D4" i="4"/>
  <c r="C4" i="4"/>
  <c r="H3" i="4"/>
  <c r="G3" i="4"/>
  <c r="F3" i="4"/>
  <c r="E3" i="4"/>
  <c r="D3" i="4"/>
  <c r="C3" i="4"/>
  <c r="O22" i="4" l="1"/>
  <c r="C11" i="4"/>
  <c r="C9" i="4"/>
  <c r="C13" i="4"/>
  <c r="C14" i="4"/>
  <c r="C15" i="4"/>
  <c r="C10" i="4"/>
  <c r="D11" i="4"/>
  <c r="D15" i="4"/>
  <c r="D10" i="4"/>
  <c r="D14" i="4"/>
  <c r="D13" i="4"/>
  <c r="D9" i="4"/>
  <c r="E13" i="4"/>
  <c r="E9" i="4"/>
  <c r="E11" i="4"/>
  <c r="E10" i="4"/>
  <c r="E15" i="4"/>
  <c r="E14" i="4"/>
  <c r="F10" i="4"/>
  <c r="F14" i="4"/>
  <c r="F11" i="4"/>
  <c r="F15" i="4"/>
  <c r="F9" i="4"/>
  <c r="F13" i="4"/>
  <c r="G15" i="4"/>
  <c r="G14" i="4"/>
  <c r="G11" i="4"/>
  <c r="G13" i="4"/>
  <c r="G10" i="4"/>
  <c r="G9" i="4"/>
  <c r="H11" i="4"/>
  <c r="H13" i="4"/>
  <c r="H15" i="4"/>
  <c r="H9" i="4"/>
  <c r="H14" i="4"/>
  <c r="H10" i="4"/>
  <c r="I10" i="4"/>
  <c r="I14" i="4"/>
  <c r="I13" i="4"/>
  <c r="I9" i="4"/>
  <c r="I11" i="4"/>
  <c r="I15" i="4"/>
  <c r="J9" i="4"/>
  <c r="J10" i="4"/>
  <c r="J11" i="4"/>
  <c r="J15" i="4"/>
  <c r="J14" i="4"/>
  <c r="J13" i="4"/>
  <c r="C27" i="10"/>
  <c r="L26" i="10" s="1"/>
  <c r="C13" i="10"/>
  <c r="E11" i="11"/>
  <c r="F11" i="11"/>
  <c r="D11" i="11"/>
  <c r="D7" i="11"/>
  <c r="E7" i="11"/>
  <c r="F7" i="11"/>
  <c r="C6" i="10" l="1"/>
  <c r="L5" i="10" s="1"/>
  <c r="L12" i="10"/>
  <c r="D12" i="10" a="1"/>
  <c r="D12" i="10" s="1"/>
  <c r="D26" i="10" a="1"/>
  <c r="D26" i="10" s="1"/>
  <c r="D13" i="10" l="1" a="1"/>
  <c r="D27" i="10" a="1"/>
  <c r="E26" i="10"/>
  <c r="D19" i="10" a="1"/>
  <c r="D19" i="10" s="1"/>
  <c r="D5" i="10" a="1"/>
  <c r="D5" i="10" s="1"/>
  <c r="E12" i="10"/>
  <c r="E13" i="10" s="1" a="1"/>
  <c r="D13" i="10" l="1"/>
  <c r="D27" i="10"/>
  <c r="F26" i="10"/>
  <c r="E27" i="10" a="1"/>
  <c r="E13" i="10"/>
  <c r="D20" i="10" a="1"/>
  <c r="E19" i="10"/>
  <c r="D6" i="10" a="1"/>
  <c r="E5" i="10"/>
  <c r="F12" i="10"/>
  <c r="F13" i="10" s="1" a="1"/>
  <c r="E17" i="10" a="1"/>
  <c r="D17" i="10" a="1"/>
  <c r="D31" i="10" a="1"/>
  <c r="D31" i="10" l="1"/>
  <c r="E17" i="10"/>
  <c r="D17" i="10"/>
  <c r="E27" i="10"/>
  <c r="F27" i="10" a="1"/>
  <c r="G26" i="10"/>
  <c r="D6" i="10"/>
  <c r="D20" i="10"/>
  <c r="E20" i="10" a="1"/>
  <c r="F19" i="10"/>
  <c r="E6" i="10" a="1"/>
  <c r="F5" i="10"/>
  <c r="F13" i="10"/>
  <c r="G12" i="10"/>
  <c r="G13" i="10" s="1" a="1"/>
  <c r="D24" i="10" a="1"/>
  <c r="E31" i="10" a="1"/>
  <c r="D10" i="10" a="1"/>
  <c r="F17" i="10" a="1"/>
  <c r="F17" i="10" l="1"/>
  <c r="D24" i="10"/>
  <c r="D10" i="10"/>
  <c r="E31" i="10"/>
  <c r="F27" i="10"/>
  <c r="G27" i="10" a="1"/>
  <c r="H26" i="10"/>
  <c r="E20" i="10"/>
  <c r="E6" i="10"/>
  <c r="F20" i="10" a="1"/>
  <c r="G19" i="10"/>
  <c r="F6" i="10" a="1"/>
  <c r="G5" i="10"/>
  <c r="G13" i="10"/>
  <c r="H12" i="10"/>
  <c r="H13" i="10" s="1" a="1"/>
  <c r="E24" i="10" a="1"/>
  <c r="E10" i="10" a="1"/>
  <c r="G17" i="10" a="1"/>
  <c r="F31" i="10" a="1"/>
  <c r="G17" i="10" l="1"/>
  <c r="E10" i="10"/>
  <c r="E24" i="10"/>
  <c r="F31" i="10"/>
  <c r="G27" i="10"/>
  <c r="H27" i="10" a="1"/>
  <c r="H27" i="10" s="1"/>
  <c r="I26" i="10"/>
  <c r="F6" i="10"/>
  <c r="F20" i="10"/>
  <c r="G20" i="10" a="1"/>
  <c r="H19" i="10"/>
  <c r="G6" i="10" a="1"/>
  <c r="H5" i="10"/>
  <c r="H13" i="10"/>
  <c r="I12" i="10"/>
  <c r="I13" i="10" s="1" a="1"/>
  <c r="G31" i="10" a="1"/>
  <c r="H31" i="10" a="1"/>
  <c r="F24" i="10" a="1"/>
  <c r="H17" i="10" a="1"/>
  <c r="F10" i="10" a="1"/>
  <c r="H17" i="10" l="1"/>
  <c r="F24" i="10"/>
  <c r="F10" i="10"/>
  <c r="H31" i="10"/>
  <c r="G31" i="10"/>
  <c r="I27" i="10" a="1"/>
  <c r="J26" i="10"/>
  <c r="G20" i="10"/>
  <c r="G6" i="10"/>
  <c r="I13" i="10"/>
  <c r="H20" i="10" a="1"/>
  <c r="H20" i="10" s="1"/>
  <c r="I19" i="10"/>
  <c r="H6" i="10" a="1"/>
  <c r="H6" i="10" s="1"/>
  <c r="I5" i="10"/>
  <c r="J12" i="10"/>
  <c r="G10" i="10" a="1"/>
  <c r="I17" i="10" a="1"/>
  <c r="G24" i="10" a="1"/>
  <c r="H24" i="10" a="1"/>
  <c r="H10" i="10" a="1"/>
  <c r="I17" i="10" l="1"/>
  <c r="H10" i="10"/>
  <c r="H24" i="10"/>
  <c r="G10" i="10"/>
  <c r="G24" i="10"/>
  <c r="J27" i="10" a="1"/>
  <c r="J27" i="10" s="1"/>
  <c r="P28" i="10"/>
  <c r="P29" i="10"/>
  <c r="P27" i="10"/>
  <c r="J13" i="10" a="1"/>
  <c r="J13" i="10" s="1"/>
  <c r="P14" i="10"/>
  <c r="P15" i="10"/>
  <c r="P13" i="10"/>
  <c r="I27" i="10"/>
  <c r="I20" i="10" a="1"/>
  <c r="J19" i="10"/>
  <c r="I6" i="10" a="1"/>
  <c r="J5" i="10"/>
  <c r="J31" i="10" a="1"/>
  <c r="J31" i="10" l="1"/>
  <c r="M29" i="10"/>
  <c r="M14" i="10"/>
  <c r="M15" i="10"/>
  <c r="J20" i="10" a="1"/>
  <c r="J20" i="10" s="1"/>
  <c r="P22" i="10"/>
  <c r="P20" i="10"/>
  <c r="P21" i="10"/>
  <c r="J6" i="10" a="1"/>
  <c r="J6" i="10" s="1"/>
  <c r="P7" i="10"/>
  <c r="P8" i="10"/>
  <c r="P6" i="10"/>
  <c r="M28" i="10"/>
  <c r="I20" i="10"/>
  <c r="I6" i="10"/>
  <c r="J24" i="10" a="1"/>
  <c r="J10" i="10" a="1"/>
  <c r="I24" i="10" a="1"/>
  <c r="J17" i="10" a="1"/>
  <c r="I10" i="10" a="1"/>
  <c r="I31" i="10" a="1"/>
  <c r="J17" i="10" l="1"/>
  <c r="M13" i="10" s="1"/>
  <c r="I10" i="10"/>
  <c r="I24" i="10"/>
  <c r="I31" i="10"/>
  <c r="M27" i="10" s="1"/>
  <c r="J10" i="10"/>
  <c r="J24" i="10"/>
  <c r="M30" i="10"/>
  <c r="M16" i="10"/>
  <c r="M21" i="10"/>
  <c r="M22" i="10"/>
  <c r="M7" i="10"/>
  <c r="M8" i="10"/>
  <c r="M20" i="10" l="1"/>
  <c r="M6" i="10"/>
  <c r="M31" i="10"/>
  <c r="M17" i="10"/>
  <c r="M23" i="10"/>
  <c r="M9" i="10"/>
  <c r="M24" i="10" l="1"/>
  <c r="M10" i="1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<sst xmlns="http://schemas.openxmlformats.org/spreadsheetml/2006/main" count="407" uniqueCount="138">
  <si>
    <t>Mitarbeiter</t>
  </si>
  <si>
    <t>Lehrmann, Marcel</t>
  </si>
  <si>
    <t>Bremen</t>
  </si>
  <si>
    <t>Plottek, André</t>
  </si>
  <si>
    <t>Schweitzer, Sven</t>
  </si>
  <si>
    <t>Hamburg</t>
  </si>
  <si>
    <t>Weber, Joelle</t>
  </si>
  <si>
    <t>Datum</t>
  </si>
  <si>
    <t>Art</t>
  </si>
  <si>
    <t>Jahr</t>
  </si>
  <si>
    <t>Einstellungen</t>
  </si>
  <si>
    <t>Aktiv</t>
  </si>
  <si>
    <t>Eris, Gürkan</t>
  </si>
  <si>
    <t>Plath, Julian</t>
  </si>
  <si>
    <t>Wagner, Helene</t>
  </si>
  <si>
    <t>Aktive Mitarbeiter</t>
  </si>
  <si>
    <t>Neu</t>
  </si>
  <si>
    <t>Bestand</t>
  </si>
  <si>
    <t>Alt-KB</t>
  </si>
  <si>
    <t>Name</t>
  </si>
  <si>
    <t>Bundesland</t>
  </si>
  <si>
    <t>2025</t>
  </si>
  <si>
    <t>2026</t>
  </si>
  <si>
    <t>2027</t>
  </si>
  <si>
    <t>2028</t>
  </si>
  <si>
    <t>2029</t>
  </si>
  <si>
    <t>2030</t>
  </si>
  <si>
    <t>Kurz</t>
  </si>
  <si>
    <t>Neujahr</t>
  </si>
  <si>
    <t>*</t>
  </si>
  <si>
    <t>Alle Bundesländer</t>
  </si>
  <si>
    <t>Karfreitag</t>
  </si>
  <si>
    <t>Baden-Württemberg</t>
  </si>
  <si>
    <t>BW</t>
  </si>
  <si>
    <t>Ostersonntag</t>
  </si>
  <si>
    <t>Bayern</t>
  </si>
  <si>
    <t>BY</t>
  </si>
  <si>
    <t>Ostermontag</t>
  </si>
  <si>
    <t>Berlin</t>
  </si>
  <si>
    <t>BE</t>
  </si>
  <si>
    <t>Maifeiertag</t>
  </si>
  <si>
    <t>Brandenburg</t>
  </si>
  <si>
    <t>BB</t>
  </si>
  <si>
    <t>Himmelfahrt</t>
  </si>
  <si>
    <t>HB</t>
  </si>
  <si>
    <t>Pfingstmontag</t>
  </si>
  <si>
    <t>HH</t>
  </si>
  <si>
    <t>Tag der Einheit</t>
  </si>
  <si>
    <t>Hessen</t>
  </si>
  <si>
    <t>HE</t>
  </si>
  <si>
    <t>1. Weihnachtstag</t>
  </si>
  <si>
    <t>Mecklenburg-Vorpommern</t>
  </si>
  <si>
    <t>MV</t>
  </si>
  <si>
    <t>2. Weihnachtstag</t>
  </si>
  <si>
    <t>Niedersachsen</t>
  </si>
  <si>
    <t>NI</t>
  </si>
  <si>
    <t>Heilige 3 Könige</t>
  </si>
  <si>
    <t>Nordrhein-Westfalen</t>
  </si>
  <si>
    <t>NW</t>
  </si>
  <si>
    <t>Rheinland-Pfalz</t>
  </si>
  <si>
    <t>RP</t>
  </si>
  <si>
    <t>ST</t>
  </si>
  <si>
    <t>Saarland</t>
  </si>
  <si>
    <t>SL</t>
  </si>
  <si>
    <t>Internationaler Frauentag</t>
  </si>
  <si>
    <t>Sachsen</t>
  </si>
  <si>
    <t>SN</t>
  </si>
  <si>
    <t>Sachsen-Anhalt</t>
  </si>
  <si>
    <t>Fronleichnam</t>
  </si>
  <si>
    <t>Schleswig-Holstein</t>
  </si>
  <si>
    <t>SH</t>
  </si>
  <si>
    <t>Thüringen</t>
  </si>
  <si>
    <t>TH</t>
  </si>
  <si>
    <t>Augsburger Friedensfest </t>
  </si>
  <si>
    <t>Mariä Himmelfahrt</t>
  </si>
  <si>
    <t>Weltkindertag</t>
  </si>
  <si>
    <t>Reformationstag</t>
  </si>
  <si>
    <t>Allerheiligen</t>
  </si>
  <si>
    <t>Buß- und Bettag</t>
  </si>
  <si>
    <t>Terminarten</t>
  </si>
  <si>
    <t>Termine</t>
  </si>
  <si>
    <t>Terminart</t>
  </si>
  <si>
    <t>Agent</t>
  </si>
  <si>
    <t>Display</t>
  </si>
  <si>
    <t>Display Id</t>
  </si>
  <si>
    <t>IE</t>
  </si>
  <si>
    <t>AP</t>
  </si>
  <si>
    <t>ZZ</t>
  </si>
  <si>
    <t>KW</t>
  </si>
  <si>
    <t>SearchTerm</t>
  </si>
  <si>
    <t>Eigentermin</t>
  </si>
  <si>
    <t>Urlaub</t>
  </si>
  <si>
    <t>Feiertag</t>
  </si>
  <si>
    <t>Arbeitstage</t>
  </si>
  <si>
    <t>Urlaubstage</t>
  </si>
  <si>
    <t>Feiertage</t>
  </si>
  <si>
    <t>Termine pro Tag</t>
  </si>
  <si>
    <t>Terminübersicht</t>
  </si>
  <si>
    <t>Alt-KB (Agent)</t>
  </si>
  <si>
    <t>Neu (Agent)</t>
  </si>
  <si>
    <t>Developer Sheet</t>
  </si>
  <si>
    <t>Enums Prefix</t>
  </si>
  <si>
    <t>Variables Prefix</t>
  </si>
  <si>
    <t>Public</t>
  </si>
  <si>
    <t>Paste via Transpose</t>
  </si>
  <si>
    <t>Variable type
empty=String</t>
  </si>
  <si>
    <t>Headers</t>
  </si>
  <si>
    <t>Types</t>
  </si>
  <si>
    <t>VBA Names</t>
  </si>
  <si>
    <t>Class Enums</t>
  </si>
  <si>
    <t>Var-Declarations</t>
  </si>
  <si>
    <t>Assignments</t>
  </si>
  <si>
    <t>xtrm</t>
  </si>
  <si>
    <t>2031</t>
  </si>
  <si>
    <t>2032</t>
  </si>
  <si>
    <t>Legende:</t>
  </si>
  <si>
    <t>Mobilfunk</t>
  </si>
  <si>
    <t>Daten</t>
  </si>
  <si>
    <t>Telefonie</t>
  </si>
  <si>
    <t>Angebote</t>
  </si>
  <si>
    <t>Kunde</t>
  </si>
  <si>
    <t>Angebotarten</t>
  </si>
  <si>
    <t>Testkunde 1</t>
  </si>
  <si>
    <t>Meier</t>
  </si>
  <si>
    <t>Kunze</t>
  </si>
  <si>
    <t>Testkunde 2</t>
  </si>
  <si>
    <t>Testkunde 3</t>
  </si>
  <si>
    <t>Testkunde 4</t>
  </si>
  <si>
    <t>Testkunde 5</t>
  </si>
  <si>
    <t>Festnetz</t>
  </si>
  <si>
    <t>IP-Telefonie</t>
  </si>
  <si>
    <t>Office365</t>
  </si>
  <si>
    <t>Apr</t>
  </si>
  <si>
    <t>Mai</t>
  </si>
  <si>
    <t>ID</t>
  </si>
  <si>
    <t>Anzahl</t>
  </si>
  <si>
    <t>Überblick</t>
  </si>
  <si>
    <t>Summe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</si>
</sst>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d\ dd/mm/"/>
    <numFmt numFmtId="165" formatCode="0;\-0;"/>
    <numFmt numFmtId="166" formatCode="dd/mm/yyyy\ ddd"/>
    <numFmt numFmtId="167" formatCode="0;0;"/>
  </numFmts>
  <fonts count="19" x14ac:knownFonts="1">
    <font>
      <sz val="11"/>
      <color theme="1"/>
      <name val="Aptos Display"/>
      <family val="2"/>
    </font>
    <font>
      <u/>
      <sz val="11"/>
      <color theme="10"/>
      <name val="Aptos Narrow"/>
      <family val="2"/>
      <scheme val="minor"/>
    </font>
    <font>
      <b/>
      <sz val="18"/>
      <color theme="5"/>
      <name val="Aptos Narrow"/>
      <family val="2"/>
      <scheme val="minor"/>
    </font>
    <font>
      <sz val="11"/>
      <name val="Aptos Display"/>
      <family val="2"/>
    </font>
    <font>
      <b/>
      <sz val="18"/>
      <color theme="4"/>
      <name val="Aptos Display"/>
      <family val="2"/>
    </font>
    <font>
      <sz val="11"/>
      <color theme="0"/>
      <name val="Aptos Display"/>
      <family val="2"/>
    </font>
    <font>
      <b/>
      <sz val="11"/>
      <name val="Aptos Narrow"/>
      <family val="2"/>
      <scheme val="minor"/>
    </font>
    <font>
      <b/>
      <sz val="18"/>
      <name val="Aptos Display"/>
      <family val="2"/>
    </font>
    <font>
      <sz val="12"/>
      <name val="Aptos Display"/>
      <family val="2"/>
    </font>
    <font>
      <sz val="18"/>
      <name val="Aptos Display"/>
      <family val="2"/>
    </font>
    <font>
      <sz val="20"/>
      <name val="Aptos Display"/>
      <family val="2"/>
    </font>
    <font>
      <b/>
      <sz val="11"/>
      <name val="Aptos Display"/>
      <family val="2"/>
    </font>
    <font>
      <b/>
      <sz val="16"/>
      <color theme="0"/>
      <name val="Aptos Display"/>
      <family val="2"/>
    </font>
    <font>
      <sz val="11"/>
      <color theme="8"/>
      <name val="Aptos Display"/>
      <family val="2"/>
    </font>
    <font>
      <sz val="10"/>
      <color theme="1"/>
      <name val="Cascadia Mono"/>
      <family val="3"/>
    </font>
    <font>
      <sz val="8"/>
      <name val="Aptos Display"/>
      <family val="2"/>
    </font>
    <font>
      <b/>
      <sz val="12"/>
      <name val="Aptos Display"/>
      <family val="2"/>
    </font>
    <font>
      <i/>
      <sz val="11"/>
      <name val="Aptos Display"/>
      <family val="2"/>
    </font>
    <font>
      <b/>
      <sz val="18"/>
      <color theme="1"/>
      <name val="Aptos Display"/>
      <family val="2"/>
    </font>
  </fonts>
  <fills count="12">
    <fill>
      <patternFill patternType="none"/>
    </fill>
    <fill>
      <patternFill patternType="gray125"/>
    </fill>
    <fill>
      <patternFill patternType="solid">
        <fgColor theme="6"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bgColor indexed="64"/>
      </patternFill>
    </fill>
    <fill>
      <patternFill patternType="solid">
        <fgColor theme="8" tint="0.79998168889431442"/>
        <bgColor indexed="64"/>
      </patternFill>
    </fill>
    <fill>
      <patternFill patternType="solid">
        <fgColor rgb="FFFFFFB9"/>
        <bgColor indexed="64"/>
      </patternFill>
    </fill>
    <fill>
      <patternFill patternType="solid">
        <fgColor theme="0"/>
        <bgColor indexed="64"/>
      </patternFill>
    </fill>
    <fill>
      <patternFill patternType="solid">
        <fgColor theme="9" tint="0.59999389629810485"/>
        <bgColor indexed="64"/>
      </patternFill>
    </fill>
    <fill>
      <patternFill patternType="solid">
        <fgColor rgb="FFFFF1F4"/>
        <bgColor indexed="64"/>
      </patternFill>
    </fill>
  </fills>
  <borders count="12">
    <border>
      <left/>
      <right/>
      <top/>
      <bottom/>
      <diagonal/>
    </border>
    <border>
      <left style="dashed">
        <color theme="2" tint="-0.24994659260841701"/>
      </left>
      <right style="dashed">
        <color theme="2" tint="-0.24994659260841701"/>
      </right>
      <top style="dashed">
        <color theme="2" tint="-0.24994659260841701"/>
      </top>
      <bottom style="dashed">
        <color theme="2" tint="-0.24994659260841701"/>
      </bottom>
      <diagonal/>
    </border>
    <border>
      <left style="thin">
        <color indexed="64"/>
      </left>
      <right style="thin">
        <color indexed="64"/>
      </right>
      <top style="thin">
        <color indexed="64"/>
      </top>
      <bottom style="thin">
        <color indexed="64"/>
      </bottom>
      <diagonal/>
    </border>
    <border>
      <left style="dotted">
        <color auto="1"/>
      </left>
      <right style="dotted">
        <color theme="8"/>
      </right>
      <top style="dotted">
        <color auto="1"/>
      </top>
      <bottom/>
      <diagonal/>
    </border>
    <border>
      <left style="dotted">
        <color theme="8"/>
      </left>
      <right style="dotted">
        <color auto="1"/>
      </right>
      <top style="dotted">
        <color auto="1"/>
      </top>
      <bottom/>
      <diagonal/>
    </border>
    <border>
      <left style="dashed">
        <color auto="1"/>
      </left>
      <right style="dashed">
        <color auto="1"/>
      </right>
      <top style="dashed">
        <color auto="1"/>
      </top>
      <bottom style="dashed">
        <color auto="1"/>
      </bottom>
      <diagonal/>
    </border>
    <border>
      <left style="medium">
        <color auto="1"/>
      </left>
      <right/>
      <top/>
      <bottom/>
      <diagonal/>
    </border>
    <border>
      <left/>
      <right style="medium">
        <color auto="1"/>
      </right>
      <top/>
      <bottom/>
      <diagonal/>
    </border>
    <border>
      <left/>
      <right style="dashed">
        <color theme="2" tint="-0.24994659260841701"/>
      </right>
      <top style="dashed">
        <color theme="2" tint="-0.24994659260841701"/>
      </top>
      <bottom style="dashed">
        <color theme="2" tint="-0.24994659260841701"/>
      </bottom>
      <diagonal/>
    </border>
    <border>
      <left style="dashed">
        <color theme="2" tint="-0.24994659260841701"/>
      </left>
      <right style="dashed">
        <color theme="2" tint="-0.24994659260841701"/>
      </right>
      <top style="dashed">
        <color theme="2" tint="-0.24994659260841701"/>
      </top>
      <bottom/>
      <diagonal/>
    </border>
    <border>
      <left style="dashed">
        <color theme="2" tint="-0.24994659260841701"/>
      </left>
      <right style="dashed">
        <color theme="2" tint="-0.24994659260841701"/>
      </right>
      <top/>
      <bottom/>
      <diagonal/>
    </border>
    <border>
      <left style="dashed">
        <color theme="2" tint="-0.24994659260841701"/>
      </left>
      <right style="dashed">
        <color theme="2" tint="-0.24994659260841701"/>
      </right>
      <top/>
      <bottom style="dashed">
        <color theme="2" tint="-0.24994659260841701"/>
      </bottom>
      <diagonal/>
    </border>
  </borders>
  <cellStyleXfs count="2">
    <xf numFmtId="0" fontId="0" fillId="0" borderId="0"/>
    <xf numFmtId="0" fontId="1" fillId="0" borderId="0" applyNumberFormat="0" applyFill="0" applyBorder="0" applyAlignment="0" applyProtection="0"/>
  </cellStyleXfs>
  <cellXfs count="82">
    <xf numFmtId="0" fontId="0" fillId="0" borderId="0" xfId="0"/>
    <xf numFmtId="0" fontId="0" fillId="0" borderId="0" xfId="0" applyAlignment="1">
      <alignment horizontal="left" vertical="top"/>
    </xf>
    <xf numFmtId="0" fontId="0" fillId="3" borderId="0" xfId="0" applyFill="1" applyAlignment="1">
      <alignment horizontal="left" vertical="center"/>
    </xf>
    <xf numFmtId="0" fontId="2" fillId="3" borderId="0" xfId="0" applyFont="1" applyFill="1" applyAlignment="1">
      <alignment horizontal="left" vertical="center"/>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0" fontId="0" fillId="0" borderId="0" xfId="0" applyAlignment="1">
      <alignment horizontal="left"/>
    </xf>
    <xf numFmtId="0" fontId="0" fillId="0" borderId="0" xfId="0" applyAlignment="1">
      <alignment horizontal="center" vertical="top"/>
      <extLst>
        <ext xmlns:xfpb="http://schemas.microsoft.com/office/spreadsheetml/2022/featurepropertybag" uri="{C7286773-470A-42A8-94C5-96B5CB345126}">
          <xfpb:xfComplement i="0"/>
        </ext>
      </extLst>
    </xf>
    <xf numFmtId="14" fontId="0" fillId="0" borderId="0" xfId="0" applyNumberFormat="1"/>
    <xf numFmtId="14" fontId="0" fillId="0" borderId="0" xfId="0" applyNumberFormat="1" applyAlignment="1">
      <alignment horizontal="left"/>
    </xf>
    <xf numFmtId="0" fontId="0" fillId="3" borderId="0" xfId="0" applyFill="1"/>
    <xf numFmtId="14" fontId="0" fillId="3" borderId="0" xfId="0" applyNumberFormat="1" applyFill="1"/>
    <xf numFmtId="0" fontId="6" fillId="0" borderId="0" xfId="0" applyFont="1" applyAlignment="1">
      <alignment horizontal="right" vertical="top"/>
    </xf>
    <xf numFmtId="0" fontId="3"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center" wrapText="1"/>
    </xf>
    <xf numFmtId="0" fontId="3" fillId="0" borderId="0" xfId="0" applyFont="1" applyAlignment="1">
      <alignment vertical="center"/>
    </xf>
    <xf numFmtId="0" fontId="3" fillId="0" borderId="0" xfId="0" applyFont="1" applyAlignment="1">
      <alignment horizontal="center" vertical="center"/>
    </xf>
    <xf numFmtId="0" fontId="7" fillId="5" borderId="0" xfId="0" applyFont="1" applyFill="1" applyAlignment="1">
      <alignment horizontal="left" vertical="center"/>
    </xf>
    <xf numFmtId="0" fontId="9" fillId="5" borderId="0" xfId="0" applyFont="1" applyFill="1" applyAlignment="1">
      <alignment horizontal="left" vertical="center"/>
    </xf>
    <xf numFmtId="0" fontId="3" fillId="0" borderId="0" xfId="0" applyFont="1" applyAlignment="1">
      <alignment horizontal="right" vertical="top"/>
    </xf>
    <xf numFmtId="0" fontId="3" fillId="0" borderId="0" xfId="0" applyFont="1" applyAlignment="1">
      <alignment horizontal="right" vertical="center"/>
    </xf>
    <xf numFmtId="0" fontId="8" fillId="5" borderId="1" xfId="0" applyFont="1" applyFill="1" applyBorder="1" applyAlignment="1">
      <alignment horizontal="center" vertical="center" wrapText="1"/>
    </xf>
    <xf numFmtId="164" fontId="8" fillId="5" borderId="1" xfId="0" applyNumberFormat="1" applyFont="1" applyFill="1" applyBorder="1" applyAlignment="1">
      <alignment horizontal="center" vertical="center" wrapText="1"/>
    </xf>
    <xf numFmtId="0" fontId="3" fillId="0" borderId="1" xfId="0" applyFont="1" applyBorder="1" applyAlignment="1">
      <alignment horizontal="center" vertical="center"/>
    </xf>
    <xf numFmtId="0" fontId="3" fillId="5" borderId="1" xfId="0" applyFont="1" applyFill="1" applyBorder="1" applyAlignment="1">
      <alignment horizontal="center" vertical="center"/>
    </xf>
    <xf numFmtId="0" fontId="3" fillId="0" borderId="1" xfId="0" applyFont="1" applyBorder="1" applyAlignment="1">
      <alignment horizontal="center" vertical="top"/>
    </xf>
    <xf numFmtId="0" fontId="3" fillId="0" borderId="1" xfId="0" applyFont="1" applyBorder="1" applyAlignment="1">
      <alignment vertical="center"/>
    </xf>
    <xf numFmtId="165" fontId="3" fillId="0" borderId="1" xfId="0" applyNumberFormat="1" applyFont="1" applyBorder="1" applyAlignment="1">
      <alignment horizontal="right" vertical="center"/>
    </xf>
    <xf numFmtId="2" fontId="3" fillId="0" borderId="1" xfId="0" applyNumberFormat="1" applyFont="1" applyBorder="1" applyAlignment="1">
      <alignment horizontal="right" vertical="center"/>
    </xf>
    <xf numFmtId="0" fontId="12" fillId="6" borderId="0" xfId="0" applyFont="1" applyFill="1" applyAlignment="1">
      <alignment horizontal="left" vertical="top"/>
    </xf>
    <xf numFmtId="0" fontId="5" fillId="6" borderId="0" xfId="0" applyFont="1" applyFill="1" applyAlignment="1">
      <alignment horizontal="left" vertical="top"/>
    </xf>
    <xf numFmtId="0" fontId="5" fillId="6" borderId="0" xfId="0" applyFont="1" applyFill="1" applyAlignment="1">
      <alignment horizontal="left" vertical="center"/>
    </xf>
    <xf numFmtId="0" fontId="0" fillId="7" borderId="0" xfId="0" applyFill="1" applyAlignment="1">
      <alignment horizontal="left" vertical="top"/>
    </xf>
    <xf numFmtId="0" fontId="0" fillId="8" borderId="2" xfId="0" applyFill="1" applyBorder="1" applyAlignment="1">
      <alignment horizontal="left" vertical="top"/>
    </xf>
    <xf numFmtId="0" fontId="13" fillId="7" borderId="3" xfId="0" applyFont="1" applyFill="1" applyBorder="1" applyAlignment="1">
      <alignment horizontal="left" vertical="top" wrapText="1"/>
    </xf>
    <xf numFmtId="0" fontId="13" fillId="7" borderId="4" xfId="0" applyFont="1" applyFill="1" applyBorder="1" applyAlignment="1">
      <alignment horizontal="left" vertical="top" wrapText="1"/>
    </xf>
    <xf numFmtId="0" fontId="0" fillId="7" borderId="0" xfId="0" applyFill="1" applyAlignment="1">
      <alignment horizontal="right" vertical="center" wrapText="1"/>
    </xf>
    <xf numFmtId="0" fontId="0" fillId="7" borderId="0" xfId="0" applyFill="1" applyAlignment="1">
      <alignment horizontal="right" vertical="center"/>
    </xf>
    <xf numFmtId="0" fontId="0" fillId="7" borderId="0" xfId="0" applyFill="1" applyAlignment="1">
      <alignment horizontal="left" vertical="top" wrapText="1"/>
    </xf>
    <xf numFmtId="0" fontId="14" fillId="7" borderId="0" xfId="0" applyFont="1" applyFill="1"/>
    <xf numFmtId="0" fontId="14" fillId="9" borderId="0" xfId="0" applyFont="1" applyFill="1" applyAlignment="1">
      <alignment horizontal="left" vertical="top"/>
    </xf>
    <xf numFmtId="166" fontId="0" fillId="0" borderId="0" xfId="0" applyNumberFormat="1" applyAlignment="1">
      <alignment horizontal="left"/>
    </xf>
    <xf numFmtId="0" fontId="11" fillId="10" borderId="0" xfId="0" applyFont="1" applyFill="1" applyAlignment="1">
      <alignment vertical="top"/>
    </xf>
    <xf numFmtId="0" fontId="11" fillId="5" borderId="0" xfId="0" applyFont="1" applyFill="1" applyAlignment="1">
      <alignment vertical="center" wrapText="1"/>
    </xf>
    <xf numFmtId="0" fontId="3" fillId="5" borderId="0" xfId="0" applyFont="1" applyFill="1" applyAlignment="1">
      <alignment horizontal="right" vertical="center" wrapText="1"/>
    </xf>
    <xf numFmtId="0" fontId="3" fillId="5" borderId="0" xfId="0" applyFont="1" applyFill="1" applyAlignment="1">
      <alignment horizontal="right" vertical="center"/>
    </xf>
    <xf numFmtId="0" fontId="17" fillId="0" borderId="0" xfId="0" applyFont="1" applyAlignment="1">
      <alignment horizontal="right" vertical="top" indent="1"/>
    </xf>
    <xf numFmtId="0" fontId="16" fillId="4" borderId="0" xfId="0" applyFont="1" applyFill="1" applyAlignment="1">
      <alignment horizontal="left" vertical="top"/>
    </xf>
    <xf numFmtId="0" fontId="4" fillId="2" borderId="0" xfId="0" applyFont="1" applyFill="1" applyAlignment="1">
      <alignment horizontal="left" vertical="top"/>
    </xf>
    <xf numFmtId="0" fontId="4" fillId="2" borderId="0" xfId="0" applyFont="1" applyFill="1" applyAlignment="1">
      <alignment horizontal="left" vertical="center"/>
    </xf>
    <xf numFmtId="1" fontId="0" fillId="0" borderId="0" xfId="0" applyNumberFormat="1" applyAlignment="1">
      <alignment horizontal="center"/>
    </xf>
    <xf numFmtId="14" fontId="0" fillId="0" borderId="0" xfId="0" applyNumberFormat="1" applyAlignment="1">
      <alignment horizontal="center"/>
    </xf>
    <xf numFmtId="14" fontId="5" fillId="5" borderId="0" xfId="0" applyNumberFormat="1" applyFont="1" applyFill="1" applyAlignment="1">
      <alignment horizontal="left" vertical="top"/>
    </xf>
    <xf numFmtId="0" fontId="3" fillId="0" borderId="5" xfId="0" applyFont="1" applyBorder="1" applyAlignment="1">
      <alignment vertical="center"/>
    </xf>
    <xf numFmtId="14" fontId="0" fillId="0" borderId="0" xfId="0" applyNumberFormat="1" applyAlignment="1">
      <alignment horizontal="left" vertical="top"/>
    </xf>
    <xf numFmtId="0" fontId="18" fillId="4" borderId="0" xfId="0" applyFont="1" applyFill="1" applyAlignment="1">
      <alignment horizontal="left" vertical="center"/>
    </xf>
    <xf numFmtId="0" fontId="3" fillId="5" borderId="0" xfId="0" applyFont="1" applyFill="1" applyAlignment="1">
      <alignment horizontal="center" vertical="center" wrapText="1"/>
    </xf>
    <xf numFmtId="167" fontId="3" fillId="0" borderId="5" xfId="0" applyNumberFormat="1" applyFont="1" applyBorder="1" applyAlignment="1">
      <alignment horizontal="center" vertical="center"/>
    </xf>
    <xf numFmtId="0" fontId="0" fillId="0" borderId="0" xfId="0" applyAlignment="1">
      <alignment horizontal="left" vertical="top" wrapText="1"/>
    </xf>
    <xf numFmtId="166" fontId="0" fillId="0" borderId="0" xfId="0" applyNumberFormat="1" applyAlignment="1">
      <alignment horizontal="left" vertical="top"/>
    </xf>
    <xf numFmtId="49" fontId="0" fillId="0" borderId="0" xfId="0" applyNumberFormat="1" applyAlignment="1">
      <alignment horizontal="left" vertical="top"/>
    </xf>
    <xf numFmtId="0" fontId="0" fillId="2" borderId="0" xfId="0" applyFill="1" applyAlignment="1">
      <alignment horizontal="left" vertical="top"/>
    </xf>
    <xf numFmtId="1" fontId="0" fillId="2" borderId="6" xfId="0" applyNumberFormat="1" applyFill="1" applyBorder="1" applyAlignment="1">
      <alignment horizontal="left" vertical="top"/>
    </xf>
    <xf numFmtId="49" fontId="0" fillId="0" borderId="7" xfId="0" applyNumberFormat="1" applyBorder="1" applyAlignment="1">
      <alignment horizontal="left" vertical="top"/>
    </xf>
    <xf numFmtId="0" fontId="16" fillId="5" borderId="1" xfId="0" applyFont="1" applyFill="1" applyBorder="1" applyAlignment="1">
      <alignment horizontal="center" vertical="top" wrapText="1"/>
    </xf>
    <xf numFmtId="0" fontId="16" fillId="5" borderId="1" xfId="0" applyFont="1" applyFill="1" applyBorder="1" applyAlignment="1">
      <alignment horizontal="center" vertical="top"/>
    </xf>
    <xf numFmtId="0" fontId="3" fillId="0" borderId="8" xfId="0" applyFont="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top" wrapText="1"/>
    </xf>
    <xf numFmtId="0" fontId="3" fillId="5" borderId="10" xfId="0" applyFont="1" applyFill="1" applyBorder="1" applyAlignment="1">
      <alignment horizontal="center" vertical="top" wrapText="1"/>
    </xf>
    <xf numFmtId="0" fontId="10" fillId="5" borderId="11" xfId="0" applyFont="1" applyFill="1" applyBorder="1" applyAlignment="1">
      <alignment horizontal="center" vertical="center" wrapText="1"/>
    </xf>
    <xf numFmtId="0" fontId="3" fillId="5" borderId="9" xfId="0" applyFont="1" applyFill="1" applyBorder="1" applyAlignment="1">
      <alignment horizontal="center" vertical="top"/>
    </xf>
    <xf numFmtId="0" fontId="3" fillId="5" borderId="10" xfId="0" applyFont="1" applyFill="1" applyBorder="1" applyAlignment="1">
      <alignment horizontal="center" vertical="top"/>
    </xf>
    <xf numFmtId="0" fontId="9" fillId="5" borderId="11" xfId="0" applyFont="1" applyFill="1" applyBorder="1" applyAlignment="1">
      <alignment horizontal="center" vertical="center"/>
    </xf>
    <xf numFmtId="0" fontId="3" fillId="5" borderId="11" xfId="0" applyFont="1" applyFill="1" applyBorder="1" applyAlignment="1">
      <alignment horizontal="center" vertical="center"/>
    </xf>
    <xf numFmtId="0" fontId="3" fillId="11" borderId="1" xfId="0" applyFont="1" applyFill="1" applyBorder="1" applyAlignment="1">
      <alignment horizontal="center" vertical="center"/>
    </xf>
    <xf numFmtId="0" fontId="0" fillId="0" borderId="0" xfId="0" pivotButton="1"/>
    <xf numFmtId="0" fontId="0" fillId="0" borderId="0" xfId="0" applyAlignment="1">
      <alignment horizontal="left" indent="1"/>
    </xf>
    <xf numFmtId="0" fontId="0" fillId="4" borderId="0" xfId="0" applyFill="1" applyAlignment="1">
      <alignment horizontal="left" vertical="top"/>
    </xf>
    <xf numFmtId="3" fontId="0" fillId="0" borderId="0" xfId="0" applyNumberFormat="1"/>
  </cellXfs>
  <cellStyles count="2">
    <cellStyle name="Hyperlink" xfId="1" xr:uid="{E1645E8C-A227-4511-A9BA-0C0744AD4643}"/>
    <cellStyle name="Standard" xfId="0" builtinId="0"/>
  </cellStyles>
  <dxfs count="64">
    <dxf>
      <fill>
        <patternFill>
          <bgColor theme="7" tint="0.79998168889431442"/>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ill>
        <patternFill>
          <bgColor rgb="FFFF0000"/>
        </patternFill>
      </fill>
    </dxf>
    <dxf>
      <fill>
        <patternFill>
          <bgColor rgb="FFFF8181"/>
        </patternFill>
      </fill>
    </dxf>
    <dxf>
      <fill>
        <patternFill>
          <bgColor theme="9" tint="0.39994506668294322"/>
        </patternFill>
      </fill>
    </dxf>
    <dxf>
      <fill>
        <patternFill>
          <bgColor rgb="FF00B0F0"/>
        </patternFill>
      </fill>
    </dxf>
    <dxf>
      <fill>
        <patternFill>
          <bgColor rgb="FFFFFF00"/>
        </patternFill>
      </fill>
    </dxf>
    <dxf>
      <font>
        <color theme="0"/>
      </font>
      <fill>
        <patternFill>
          <bgColor theme="1" tint="0.34998626667073579"/>
        </patternFill>
      </fill>
    </dxf>
    <dxf>
      <font>
        <color theme="0"/>
      </font>
      <fill>
        <patternFill>
          <bgColor theme="1" tint="0.34998626667073579"/>
        </patternFill>
      </fill>
    </dxf>
    <dxf>
      <fill>
        <patternFill>
          <bgColor rgb="FFFF0000"/>
        </patternFill>
      </fill>
    </dxf>
    <dxf>
      <fill>
        <patternFill>
          <fgColor auto="1"/>
          <bgColor rgb="FFFF0000"/>
        </patternFill>
      </fill>
    </dxf>
    <dxf>
      <fill>
        <patternFill>
          <bgColor rgb="FFFF0000"/>
        </patternFill>
      </fill>
    </dxf>
    <dxf>
      <numFmt numFmtId="0" formatCode="General"/>
      <fill>
        <patternFill patternType="solid">
          <fgColor indexed="64"/>
          <bgColor theme="6"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numFmt numFmtId="0" formatCode="General"/>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numFmt numFmtId="0" formatCode="General"/>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fill>
        <patternFill patternType="solid">
          <fgColor indexed="64"/>
          <bgColor theme="8" tint="0.79998168889431442"/>
        </patternFill>
      </fill>
    </dxf>
    <dxf>
      <font>
        <sz val="10"/>
        <name val="Aptos Narrow"/>
        <family val="2"/>
        <scheme val="minor"/>
      </font>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fill>
        <patternFill patternType="solid">
          <fgColor indexed="64"/>
          <bgColor theme="0"/>
        </patternFill>
      </fill>
      <alignment horizontal="left" vertical="top" textRotation="0" wrapText="0" indent="0" justifyLastLine="0" shrinkToFit="0" readingOrder="0"/>
    </dxf>
    <dxf>
      <alignment horizontal="lef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numFmt numFmtId="19" formatCode="dd/mm/yyyy"/>
      <alignment horizontal="center" textRotation="0" wrapText="0" indent="0" justifyLastLine="0" shrinkToFit="0" readingOrder="0"/>
    </dxf>
    <dxf>
      <numFmt numFmtId="1" formatCode="0"/>
      <alignment horizontal="center" vertical="bottom" textRotation="0" wrapText="0" indent="0" justifyLastLine="0" shrinkToFit="0" readingOrder="0"/>
    </dxf>
    <dxf>
      <alignment horizontal="center"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numFmt numFmtId="166" formatCode="dd/mm/yyyy\ ddd"/>
    </dxf>
    <dxf>
      <numFmt numFmtId="166" formatCode="dd/mm/yyyy\ ddd"/>
    </dxf>
    <dxf>
      <numFmt numFmtId="166" formatCode="dd/mm/yyyy\ ddd"/>
    </dxf>
    <dxf>
      <numFmt numFmtId="166" formatCode="dd/mm/yyyy\ ddd"/>
    </dxf>
    <dxf>
      <numFmt numFmtId="166" formatCode="dd/mm/yyyy\ ddd"/>
    </dxf>
    <dxf>
      <numFmt numFmtId="166" formatCode="dd/mm/yyyy\ ddd"/>
    </dxf>
    <dxf>
      <numFmt numFmtId="166" formatCode="dd/mm/yyyy\ ddd"/>
      <alignment horizontal="left" vertical="bottom" textRotation="0" wrapText="0" indent="0" justifyLastLine="0" shrinkToFit="0" readingOrder="0"/>
    </dxf>
    <dxf>
      <numFmt numFmtId="166" formatCode="dd/mm/yyyy\ ddd"/>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horizontal="center" vertical="top" textRotation="0" wrapText="0" indent="0" justifyLastLine="0" shrinkToFit="0" readingOrder="0"/>
      <extLst>
        <ext xmlns:xfpb="http://schemas.microsoft.com/office/spreadsheetml/2022/featurepropertybag" uri="{0417FA29-78FA-4A13-93AC-8FF0FAFDF519}">
          <xfpb:DXFComplement i="0"/>
        </ext>
      </extLst>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7" tint="0.79998168889431442"/>
        </patternFill>
      </fill>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9" formatCode="dd/mm/yyyy"/>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0" formatCode="General"/>
      <fill>
        <patternFill patternType="solid">
          <fgColor indexed="64"/>
          <bgColor theme="6" tint="0.79998168889431442"/>
        </patternFill>
      </fill>
      <alignment horizontal="left" vertical="top" textRotation="0" wrapText="0" indent="0" justifyLastLine="0" shrinkToFit="0" readingOrder="0"/>
    </dxf>
    <dxf>
      <numFmt numFmtId="0" formatCode="General"/>
      <fill>
        <patternFill patternType="solid">
          <fgColor indexed="64"/>
          <bgColor theme="6" tint="0.79998168889431442"/>
        </patternFill>
      </fill>
      <alignment horizontal="left" vertical="top" textRotation="0" wrapText="0" indent="0" justifyLastLine="0" shrinkToFit="0" readingOrder="0"/>
    </dxf>
    <dxf>
      <numFmt numFmtId="1" formatCode="0"/>
      <fill>
        <patternFill patternType="solid">
          <fgColor indexed="64"/>
          <bgColor theme="6" tint="0.79998168889431442"/>
        </patternFill>
      </fill>
      <alignment horizontal="left" vertical="top" textRotation="0" wrapText="0" indent="0" justifyLastLine="0" shrinkToFit="0" readingOrder="0"/>
      <border diagonalUp="0" diagonalDown="0">
        <left style="medium">
          <color auto="1"/>
        </left>
        <right/>
        <top/>
        <bottom/>
        <vertical/>
        <horizontal/>
      </border>
    </dxf>
    <dxf>
      <numFmt numFmtId="30" formatCode="@"/>
      <alignment horizontal="left" vertical="top" textRotation="0" wrapText="0" indent="0" justifyLastLine="0" shrinkToFit="0" readingOrder="0"/>
      <border diagonalUp="0" diagonalDown="0">
        <left/>
        <right style="medium">
          <color auto="1"/>
        </right>
        <top/>
        <bottom/>
        <vertical/>
        <horizontal/>
      </border>
    </dxf>
    <dxf>
      <numFmt numFmtId="30" formatCode="@"/>
      <alignment horizontal="left" vertical="top" textRotation="0" wrapText="0" indent="0" justifyLastLine="0" shrinkToFit="0" readingOrder="0"/>
    </dxf>
    <dxf>
      <numFmt numFmtId="30" formatCode="@"/>
      <alignment horizontal="left" vertical="top" textRotation="0" wrapText="0" indent="0" justifyLastLine="0" shrinkToFit="0" readingOrder="0"/>
    </dxf>
    <dxf>
      <numFmt numFmtId="166" formatCode="dd/mm/yyyy\ ddd"/>
      <alignment horizontal="left" vertical="top" textRotation="0" wrapText="0" indent="0" justifyLastLine="0" shrinkToFit="0" readingOrder="0"/>
    </dxf>
    <dxf>
      <border diagonalUp="0" diagonalDown="0">
        <left/>
        <right style="thin">
          <color auto="1"/>
        </right>
        <top/>
        <bottom/>
      </border>
    </dxf>
    <dxf>
      <alignment horizontal="left" vertical="top" textRotation="0" wrapText="0"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F1F4"/>
      <color rgb="FFFFCCCC"/>
      <color rgb="FFFF8181"/>
      <color rgb="FF33CCCC"/>
      <color rgb="FFFFFF99"/>
      <color rgb="FFFFFFE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22/11/relationships/FeaturePropertyBag" Target="featurePropertyBag/featurePropertyBag.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3.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0</xdr:col>
      <xdr:colOff>59784</xdr:colOff>
      <xdr:row>27</xdr:row>
      <xdr:rowOff>47219</xdr:rowOff>
    </xdr:from>
    <xdr:to>
      <xdr:col>0</xdr:col>
      <xdr:colOff>383784</xdr:colOff>
      <xdr:row>28</xdr:row>
      <xdr:rowOff>171194</xdr:rowOff>
    </xdr:to>
    <xdr:grpSp>
      <xdr:nvGrpSpPr>
        <xdr:cNvPr id="2" name="Gruppieren 1">
          <a:extLst>
            <a:ext uri="{FF2B5EF4-FFF2-40B4-BE49-F238E27FC236}">
              <a16:creationId xmlns:a16="http://schemas.microsoft.com/office/drawing/2014/main" id="{0C22BB18-813A-4BE5-AFC4-16AEC6DE357B}"/>
            </a:ext>
          </a:extLst>
        </xdr:cNvPr>
        <xdr:cNvGrpSpPr>
          <a:grpSpLocks noChangeAspect="1"/>
        </xdr:cNvGrpSpPr>
      </xdr:nvGrpSpPr>
      <xdr:grpSpPr>
        <a:xfrm>
          <a:off x="59784" y="5571719"/>
          <a:ext cx="324000" cy="324000"/>
          <a:chOff x="10720387" y="3348037"/>
          <a:chExt cx="324000" cy="324000"/>
        </a:xfrm>
      </xdr:grpSpPr>
      <xdr:sp macro="[0]!AKTION_Terminübersicht_Down" textlink="">
        <xdr:nvSpPr>
          <xdr:cNvPr id="3" name="Rechteck: abgerundete Ecken 2">
            <a:extLst>
              <a:ext uri="{FF2B5EF4-FFF2-40B4-BE49-F238E27FC236}">
                <a16:creationId xmlns:a16="http://schemas.microsoft.com/office/drawing/2014/main" id="{0E47DF62-338E-026D-EA5A-DEBBEB8B2ABC}"/>
              </a:ext>
            </a:extLst>
          </xdr:cNvPr>
          <xdr:cNvSpPr/>
        </xdr:nvSpPr>
        <xdr:spPr>
          <a:xfrm>
            <a:off x="10720387" y="3348037"/>
            <a:ext cx="324000" cy="324000"/>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de-DE" sz="1100"/>
          </a:p>
        </xdr:txBody>
      </xdr:sp>
      <xdr:pic macro="[0]!AKTION_Terminübersicht_Down">
        <xdr:nvPicPr>
          <xdr:cNvPr id="4" name="Grafik 3">
            <a:extLst>
              <a:ext uri="{FF2B5EF4-FFF2-40B4-BE49-F238E27FC236}">
                <a16:creationId xmlns:a16="http://schemas.microsoft.com/office/drawing/2014/main" id="{CC8392C7-5094-BB57-ABAE-559EA6E7A1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20387" y="3348037"/>
            <a:ext cx="324000" cy="324000"/>
          </a:xfrm>
          <a:prstGeom prst="rect">
            <a:avLst/>
          </a:prstGeom>
        </xdr:spPr>
      </xdr:pic>
    </xdr:grpSp>
    <xdr:clientData fPrintsWithSheet="0"/>
  </xdr:twoCellAnchor>
  <xdr:twoCellAnchor editAs="absolute">
    <xdr:from>
      <xdr:col>0</xdr:col>
      <xdr:colOff>59784</xdr:colOff>
      <xdr:row>6</xdr:row>
      <xdr:rowOff>25333</xdr:rowOff>
    </xdr:from>
    <xdr:to>
      <xdr:col>0</xdr:col>
      <xdr:colOff>383784</xdr:colOff>
      <xdr:row>7</xdr:row>
      <xdr:rowOff>150727</xdr:rowOff>
    </xdr:to>
    <xdr:grpSp>
      <xdr:nvGrpSpPr>
        <xdr:cNvPr id="5" name="Gruppieren 4">
          <a:extLst>
            <a:ext uri="{FF2B5EF4-FFF2-40B4-BE49-F238E27FC236}">
              <a16:creationId xmlns:a16="http://schemas.microsoft.com/office/drawing/2014/main" id="{7D009BBB-F616-45E7-A8CE-3178842BF9BD}"/>
            </a:ext>
          </a:extLst>
        </xdr:cNvPr>
        <xdr:cNvGrpSpPr>
          <a:grpSpLocks noChangeAspect="1"/>
        </xdr:cNvGrpSpPr>
      </xdr:nvGrpSpPr>
      <xdr:grpSpPr>
        <a:xfrm>
          <a:off x="59784" y="1349308"/>
          <a:ext cx="324000" cy="325419"/>
          <a:chOff x="290512" y="1195387"/>
          <a:chExt cx="324000" cy="324000"/>
        </a:xfrm>
      </xdr:grpSpPr>
      <xdr:sp macro="[0]!AKTION_Terminübersicht_Up" textlink="">
        <xdr:nvSpPr>
          <xdr:cNvPr id="6" name="Rechteck: abgerundete Ecken 5">
            <a:extLst>
              <a:ext uri="{FF2B5EF4-FFF2-40B4-BE49-F238E27FC236}">
                <a16:creationId xmlns:a16="http://schemas.microsoft.com/office/drawing/2014/main" id="{5C3DF673-EDD8-116C-0745-9ABAE39CF23D}"/>
              </a:ext>
            </a:extLst>
          </xdr:cNvPr>
          <xdr:cNvSpPr/>
        </xdr:nvSpPr>
        <xdr:spPr>
          <a:xfrm>
            <a:off x="290512" y="1195387"/>
            <a:ext cx="324000" cy="324000"/>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de-DE" sz="1100"/>
          </a:p>
        </xdr:txBody>
      </xdr:sp>
      <xdr:pic macro="[0]!AKTION_Terminübersicht_Up">
        <xdr:nvPicPr>
          <xdr:cNvPr id="7" name="Grafik 6">
            <a:extLst>
              <a:ext uri="{FF2B5EF4-FFF2-40B4-BE49-F238E27FC236}">
                <a16:creationId xmlns:a16="http://schemas.microsoft.com/office/drawing/2014/main" id="{0B7B3ECB-4C4B-5803-E265-8C24D9C7DD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flipV="1">
            <a:off x="290512" y="1195387"/>
            <a:ext cx="324000" cy="324000"/>
          </a:xfrm>
          <a:prstGeom prst="rect">
            <a:avLst/>
          </a:prstGeom>
        </xdr:spPr>
      </xdr:pic>
    </xdr:grpSp>
    <xdr:clientData fPrintsWithSheet="0"/>
  </xdr:twoCellAnchor>
  <xdr:twoCellAnchor editAs="absolute">
    <xdr:from>
      <xdr:col>0</xdr:col>
      <xdr:colOff>59784</xdr:colOff>
      <xdr:row>20</xdr:row>
      <xdr:rowOff>9525</xdr:rowOff>
    </xdr:from>
    <xdr:to>
      <xdr:col>0</xdr:col>
      <xdr:colOff>383784</xdr:colOff>
      <xdr:row>21</xdr:row>
      <xdr:rowOff>133500</xdr:rowOff>
    </xdr:to>
    <xdr:grpSp>
      <xdr:nvGrpSpPr>
        <xdr:cNvPr id="11" name="Gruppieren 10">
          <a:extLst>
            <a:ext uri="{FF2B5EF4-FFF2-40B4-BE49-F238E27FC236}">
              <a16:creationId xmlns:a16="http://schemas.microsoft.com/office/drawing/2014/main" id="{2DBC2F4A-7D55-2501-406E-95EACD491B58}"/>
            </a:ext>
          </a:extLst>
        </xdr:cNvPr>
        <xdr:cNvGrpSpPr>
          <a:grpSpLocks noChangeAspect="1"/>
        </xdr:cNvGrpSpPr>
      </xdr:nvGrpSpPr>
      <xdr:grpSpPr>
        <a:xfrm>
          <a:off x="59784" y="4133850"/>
          <a:ext cx="324000" cy="324000"/>
          <a:chOff x="161925" y="3048000"/>
          <a:chExt cx="324000" cy="324000"/>
        </a:xfrm>
      </xdr:grpSpPr>
      <xdr:sp macro="[0]!AKTION_Terminübersicht_Current" textlink="">
        <xdr:nvSpPr>
          <xdr:cNvPr id="9" name="Rechteck: abgerundete Ecken 8">
            <a:extLst>
              <a:ext uri="{FF2B5EF4-FFF2-40B4-BE49-F238E27FC236}">
                <a16:creationId xmlns:a16="http://schemas.microsoft.com/office/drawing/2014/main" id="{3FDEADD1-55E1-7057-55D3-FB0F481771B1}"/>
              </a:ext>
            </a:extLst>
          </xdr:cNvPr>
          <xdr:cNvSpPr/>
        </xdr:nvSpPr>
        <xdr:spPr>
          <a:xfrm>
            <a:off x="161925" y="3048000"/>
            <a:ext cx="324000" cy="324000"/>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de-DE" sz="1100"/>
          </a:p>
        </xdr:txBody>
      </xdr:sp>
      <xdr:pic macro="[0]!AKTION_Terminübersicht_Current">
        <xdr:nvPicPr>
          <xdr:cNvPr id="10" name="Grafik 9" descr="Nach rechts zeigender Finger, Handrücken mit einfarbiger Füllung">
            <a:extLst>
              <a:ext uri="{FF2B5EF4-FFF2-40B4-BE49-F238E27FC236}">
                <a16:creationId xmlns:a16="http://schemas.microsoft.com/office/drawing/2014/main" id="{31A7FE2C-7878-F9F6-3932-08D70B4D4B1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9925" y="3066000"/>
            <a:ext cx="288000" cy="288000"/>
          </a:xfrm>
          <a:prstGeom prst="rect">
            <a:avLst/>
          </a:prstGeom>
        </xdr:spPr>
      </xdr:pic>
    </xdr:grp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5</xdr:col>
      <xdr:colOff>523875</xdr:colOff>
      <xdr:row>0</xdr:row>
      <xdr:rowOff>0</xdr:rowOff>
    </xdr:from>
    <xdr:to>
      <xdr:col>8</xdr:col>
      <xdr:colOff>419100</xdr:colOff>
      <xdr:row>0</xdr:row>
      <xdr:rowOff>936000</xdr:rowOff>
    </xdr:to>
    <mc:AlternateContent xmlns:mc="http://schemas.openxmlformats.org/markup-compatibility/2006" xmlns:sle15="http://schemas.microsoft.com/office/drawing/2012/slicer">
      <mc:Choice Requires="sle15">
        <xdr:graphicFrame macro="">
          <xdr:nvGraphicFramePr>
            <xdr:cNvPr id="2" name="Mitarbeiter">
              <a:extLst>
                <a:ext uri="{FF2B5EF4-FFF2-40B4-BE49-F238E27FC236}">
                  <a16:creationId xmlns:a16="http://schemas.microsoft.com/office/drawing/2014/main" id="{639670E6-A6B4-2047-B2DE-67AA3867C4F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itarbeiter"/>
            </a:graphicData>
          </a:graphic>
        </xdr:graphicFrame>
      </mc:Choice>
      <mc:Fallback xmlns="">
        <xdr:sp macro="" textlink="">
          <xdr:nvSpPr>
            <xdr:cNvPr id="0" name=""/>
            <xdr:cNvSpPr>
              <a:spLocks noTextEdit="1"/>
            </xdr:cNvSpPr>
          </xdr:nvSpPr>
          <xdr:spPr>
            <a:xfrm>
              <a:off x="4943475" y="0"/>
              <a:ext cx="4320000" cy="936000"/>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twoCellAnchor>
  <xdr:twoCellAnchor editAs="oneCell">
    <xdr:from>
      <xdr:col>9</xdr:col>
      <xdr:colOff>114300</xdr:colOff>
      <xdr:row>1</xdr:row>
      <xdr:rowOff>47624</xdr:rowOff>
    </xdr:from>
    <xdr:to>
      <xdr:col>10</xdr:col>
      <xdr:colOff>504825</xdr:colOff>
      <xdr:row>1</xdr:row>
      <xdr:rowOff>352425</xdr:rowOff>
    </xdr:to>
    <xdr:sp macro="[0]!AKTION_TerminListe_Feiertage" textlink="">
      <xdr:nvSpPr>
        <xdr:cNvPr id="3" name="Rechteck: abgerundete Ecken 2">
          <a:extLst>
            <a:ext uri="{FF2B5EF4-FFF2-40B4-BE49-F238E27FC236}">
              <a16:creationId xmlns:a16="http://schemas.microsoft.com/office/drawing/2014/main" id="{B67B3F97-A849-8E4D-3671-354636A32E25}"/>
            </a:ext>
          </a:extLst>
        </xdr:cNvPr>
        <xdr:cNvSpPr>
          <a:spLocks noChangeAspect="1"/>
        </xdr:cNvSpPr>
      </xdr:nvSpPr>
      <xdr:spPr>
        <a:xfrm>
          <a:off x="7600950" y="1019174"/>
          <a:ext cx="1495425" cy="30480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e-DE" sz="1100" b="1"/>
            <a:t>Feiertage hinzufügen</a:t>
          </a:r>
        </a:p>
      </xdr:txBody>
    </xdr:sp>
    <xdr:clientData/>
  </xdr:twoCellAnchor>
  <xdr:absoluteAnchor>
    <xdr:pos x="1819273" y="0"/>
    <xdr:ext cx="2971802" cy="936000"/>
    <mc:AlternateContent xmlns:mc="http://schemas.openxmlformats.org/markup-compatibility/2006" xmlns:sle15="http://schemas.microsoft.com/office/drawing/2012/slicer">
      <mc:Choice Requires="sle15">
        <xdr:graphicFrame macro="">
          <xdr:nvGraphicFramePr>
            <xdr:cNvPr id="4" name="Jahr">
              <a:extLst>
                <a:ext uri="{FF2B5EF4-FFF2-40B4-BE49-F238E27FC236}">
                  <a16:creationId xmlns:a16="http://schemas.microsoft.com/office/drawing/2014/main" id="{5491B81D-6DD0-FF7C-74D3-FC76219B529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Jahr"/>
            </a:graphicData>
          </a:graphic>
        </xdr:graphicFrame>
      </mc:Choice>
      <mc:Fallback xmlns="">
        <xdr:sp macro="" textlink="">
          <xdr:nvSpPr>
            <xdr:cNvPr id="0" name=""/>
            <xdr:cNvSpPr>
              <a:spLocks noTextEdit="1"/>
            </xdr:cNvSpPr>
          </xdr:nvSpPr>
          <xdr:spPr>
            <a:xfrm>
              <a:off x="1819273" y="0"/>
              <a:ext cx="2971802" cy="936000"/>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absoluteAnchor>
  <xdr:twoCellAnchor editAs="absolute">
    <xdr:from>
      <xdr:col>9</xdr:col>
      <xdr:colOff>114300</xdr:colOff>
      <xdr:row>0</xdr:row>
      <xdr:rowOff>0</xdr:rowOff>
    </xdr:from>
    <xdr:to>
      <xdr:col>11</xdr:col>
      <xdr:colOff>1362075</xdr:colOff>
      <xdr:row>0</xdr:row>
      <xdr:rowOff>936000</xdr:rowOff>
    </xdr:to>
    <mc:AlternateContent xmlns:mc="http://schemas.openxmlformats.org/markup-compatibility/2006">
      <mc:Choice xmlns:sle15="http://schemas.microsoft.com/office/drawing/2012/slicer" Requires="sle15">
        <xdr:graphicFrame macro="">
          <xdr:nvGraphicFramePr>
            <xdr:cNvPr id="5" name="Terminart">
              <a:extLst>
                <a:ext uri="{FF2B5EF4-FFF2-40B4-BE49-F238E27FC236}">
                  <a16:creationId xmlns:a16="http://schemas.microsoft.com/office/drawing/2014/main" id="{2634E1A9-598E-FE77-A257-7FF7EA2353BC}"/>
                </a:ext>
              </a:extLst>
            </xdr:cNvPr>
            <xdr:cNvGraphicFramePr/>
          </xdr:nvGraphicFramePr>
          <xdr:xfrm>
            <a:off x="0" y="0"/>
            <a:ext cx="0" cy="0"/>
          </xdr:xfrm>
          <a:graphic>
            <a:graphicData uri="http://schemas.microsoft.com/office/drawing/2010/slicer">
              <sle:slicer xmlns:sle="http://schemas.microsoft.com/office/drawing/2010/slicer" name="Terminart"/>
            </a:graphicData>
          </a:graphic>
        </xdr:graphicFrame>
      </mc:Choice>
      <mc:Fallback>
        <xdr:sp macro="" textlink="">
          <xdr:nvSpPr>
            <xdr:cNvPr id="0" name=""/>
            <xdr:cNvSpPr>
              <a:spLocks noTextEdit="1"/>
            </xdr:cNvSpPr>
          </xdr:nvSpPr>
          <xdr:spPr>
            <a:xfrm>
              <a:off x="9029700" y="0"/>
              <a:ext cx="3886200" cy="936000"/>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twoCellAnchor>
  <xdr:twoCellAnchor editAs="oneCell">
    <xdr:from>
      <xdr:col>10</xdr:col>
      <xdr:colOff>676275</xdr:colOff>
      <xdr:row>1</xdr:row>
      <xdr:rowOff>57150</xdr:rowOff>
    </xdr:from>
    <xdr:to>
      <xdr:col>11</xdr:col>
      <xdr:colOff>628650</xdr:colOff>
      <xdr:row>1</xdr:row>
      <xdr:rowOff>361951</xdr:rowOff>
    </xdr:to>
    <xdr:sp macro="[0]!AKTION_TerminListe_FilterClear" textlink="">
      <xdr:nvSpPr>
        <xdr:cNvPr id="6" name="Rechteck: abgerundete Ecken 5">
          <a:extLst>
            <a:ext uri="{FF2B5EF4-FFF2-40B4-BE49-F238E27FC236}">
              <a16:creationId xmlns:a16="http://schemas.microsoft.com/office/drawing/2014/main" id="{FA42C541-B478-40FE-AFD2-9400F492602E}"/>
            </a:ext>
          </a:extLst>
        </xdr:cNvPr>
        <xdr:cNvSpPr>
          <a:spLocks noChangeAspect="1"/>
        </xdr:cNvSpPr>
      </xdr:nvSpPr>
      <xdr:spPr>
        <a:xfrm>
          <a:off x="10696575" y="1028700"/>
          <a:ext cx="1485900" cy="30480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e-DE" sz="1100" b="1"/>
            <a:t>Filtern</a:t>
          </a:r>
          <a:r>
            <a:rPr lang="de-DE" sz="1100" b="1" baseline="0"/>
            <a:t> beenden</a:t>
          </a:r>
          <a:endParaRPr lang="de-DE"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152399</xdr:colOff>
      <xdr:row>2</xdr:row>
      <xdr:rowOff>38100</xdr:rowOff>
    </xdr:from>
    <xdr:to>
      <xdr:col>2</xdr:col>
      <xdr:colOff>1412399</xdr:colOff>
      <xdr:row>4</xdr:row>
      <xdr:rowOff>17100</xdr:rowOff>
    </xdr:to>
    <xdr:grpSp>
      <xdr:nvGrpSpPr>
        <xdr:cNvPr id="2" name="Gruppieren 1">
          <a:extLst>
            <a:ext uri="{FF2B5EF4-FFF2-40B4-BE49-F238E27FC236}">
              <a16:creationId xmlns:a16="http://schemas.microsoft.com/office/drawing/2014/main" id="{A451EC23-FAFF-461E-85EC-31CD460B6988}"/>
            </a:ext>
          </a:extLst>
        </xdr:cNvPr>
        <xdr:cNvGrpSpPr/>
      </xdr:nvGrpSpPr>
      <xdr:grpSpPr>
        <a:xfrm>
          <a:off x="3028949" y="495300"/>
          <a:ext cx="1260000" cy="360000"/>
          <a:chOff x="3400424" y="495300"/>
          <a:chExt cx="1250935" cy="360000"/>
        </a:xfrm>
      </xdr:grpSpPr>
      <xdr:sp macro="[0]!AKTION_Developer_Clear" textlink="">
        <xdr:nvSpPr>
          <xdr:cNvPr id="3" name="Berechnen">
            <a:extLst>
              <a:ext uri="{FF2B5EF4-FFF2-40B4-BE49-F238E27FC236}">
                <a16:creationId xmlns:a16="http://schemas.microsoft.com/office/drawing/2014/main" id="{E013D2C8-8946-B10A-F5F7-DDC8E35F515C}"/>
              </a:ext>
            </a:extLst>
          </xdr:cNvPr>
          <xdr:cNvSpPr>
            <a:spLocks noChangeAspect="1"/>
          </xdr:cNvSpPr>
        </xdr:nvSpPr>
        <xdr:spPr>
          <a:xfrm>
            <a:off x="3400424" y="495300"/>
            <a:ext cx="1250935" cy="3600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de-DE" sz="1200" b="1">
                <a:latin typeface="+mn-lt"/>
              </a:rPr>
              <a:t>Liste leeren</a:t>
            </a:r>
            <a:endParaRPr lang="de-DE" sz="1100" b="1">
              <a:latin typeface="+mn-lt"/>
            </a:endParaRPr>
          </a:p>
        </xdr:txBody>
      </xdr:sp>
      <xdr:pic macro="[0]!AKTION_Developer_Clear">
        <xdr:nvPicPr>
          <xdr:cNvPr id="4" name="Euro" descr="Papier mit einfarbiger Füllung">
            <a:extLst>
              <a:ext uri="{FF2B5EF4-FFF2-40B4-BE49-F238E27FC236}">
                <a16:creationId xmlns:a16="http://schemas.microsoft.com/office/drawing/2014/main" id="{FBF41252-7C3C-82AA-5016-5E94D67169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514726" y="561975"/>
            <a:ext cx="180000" cy="180000"/>
          </a:xfrm>
          <a:prstGeom prst="rect">
            <a:avLst/>
          </a:prstGeom>
        </xdr:spPr>
      </xdr:pic>
    </xdr:grpSp>
    <xdr:clientData fPrintsWithSheet="0"/>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achim Meyer" refreshedDate="46138.725811921293" createdVersion="8" refreshedVersion="8" minRefreshableVersion="3" recordCount="13" xr:uid="{E59D3669-BA84-4080-A6BA-FA5FFEC2AC7C}">
  <cacheSource type="worksheet">
    <worksheetSource name="tblAngebote"/>
  </cacheSource>
  <cacheFields count="7">
    <cacheField name="Datum" numFmtId="14">
      <sharedItems containsSemiMixedTypes="0" containsNonDate="0" containsDate="1" containsString="0" minDate="2026-04-20T00:00:00" maxDate="2026-05-03T00:00:00" count="13">
        <d v="2026-04-20T00:00:00"/>
        <d v="2026-04-21T00:00:00"/>
        <d v="2026-04-22T00:00:00"/>
        <d v="2026-04-23T00:00:00"/>
        <d v="2026-04-24T00:00:00"/>
        <d v="2026-04-25T00:00:00"/>
        <d v="2026-04-26T00:00:00"/>
        <d v="2026-04-27T00:00:00"/>
        <d v="2026-04-28T00:00:00"/>
        <d v="2026-04-29T00:00:00"/>
        <d v="2026-04-30T00:00:00"/>
        <d v="2026-05-01T00:00:00"/>
        <d v="2026-05-02T00:00:00"/>
      </sharedItems>
      <fieldGroup par="6"/>
    </cacheField>
    <cacheField name="Mitarbeiter" numFmtId="0">
      <sharedItems count="2">
        <s v="Lehrmann, Marcel"/>
        <s v="Plottek, André"/>
      </sharedItems>
    </cacheField>
    <cacheField name="Kunde" numFmtId="0">
      <sharedItems/>
    </cacheField>
    <cacheField name="Art" numFmtId="0">
      <sharedItems count="3">
        <s v="Festnetz"/>
        <s v="Mobilfunk"/>
        <s v="Daten"/>
      </sharedItems>
    </cacheField>
    <cacheField name="ID" numFmtId="0">
      <sharedItems/>
    </cacheField>
    <cacheField name="Tage (Datum)" numFmtId="0" databaseField="0">
      <fieldGroup base="0">
        <rangePr groupBy="days" startDate="2026-04-20T00:00:00" endDate="2026-05-03T00:00:00"/>
        <groupItems count="368">
          <s v="&lt;20.04.2026"/>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rz"/>
          <s v="02. Mrz"/>
          <s v="03. Mrz"/>
          <s v="04. Mrz"/>
          <s v="05. Mrz"/>
          <s v="06. Mrz"/>
          <s v="07. Mrz"/>
          <s v="08. Mrz"/>
          <s v="09. Mrz"/>
          <s v="10. Mrz"/>
          <s v="11. Mrz"/>
          <s v="12. Mrz"/>
          <s v="13. Mrz"/>
          <s v="14. Mrz"/>
          <s v="15. Mrz"/>
          <s v="16. Mrz"/>
          <s v="17. Mrz"/>
          <s v="18. Mrz"/>
          <s v="19. Mrz"/>
          <s v="20. Mrz"/>
          <s v="21. Mrz"/>
          <s v="22. Mrz"/>
          <s v="23. Mrz"/>
          <s v="24. Mrz"/>
          <s v="25. Mrz"/>
          <s v="26. Mrz"/>
          <s v="27. Mrz"/>
          <s v="28. Mrz"/>
          <s v="29. Mrz"/>
          <s v="30. Mrz"/>
          <s v="31. Mrz"/>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03.05.2026"/>
        </groupItems>
      </fieldGroup>
    </cacheField>
    <cacheField name="Monate (Datum)" numFmtId="0" databaseField="0">
      <fieldGroup base="0">
        <rangePr groupBy="months" startDate="2026-04-20T00:00:00" endDate="2026-05-03T00:00:00"/>
        <groupItems count="14">
          <s v="&lt;20.04.2026"/>
          <s v="Jan"/>
          <s v="Feb"/>
          <s v="Mrz"/>
          <s v="Apr"/>
          <s v="Mai"/>
          <s v="Jun"/>
          <s v="Jul"/>
          <s v="Aug"/>
          <s v="Sep"/>
          <s v="Okt"/>
          <s v="Nov"/>
          <s v="Dez"/>
          <s v="&gt;03.05.202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s v="Testkunde 1"/>
    <x v="0"/>
    <s v="Lehrmann, Marcel;Festnetz;26-04-20;Testkunde 1"/>
  </r>
  <r>
    <x v="1"/>
    <x v="0"/>
    <s v="Meier"/>
    <x v="1"/>
    <s v="Lehrmann, Marcel;Mobilfunk;26-04-21;Meier"/>
  </r>
  <r>
    <x v="2"/>
    <x v="1"/>
    <s v="Kunze"/>
    <x v="0"/>
    <s v="Plottek, André;Festnetz;26-04-22;Kunze"/>
  </r>
  <r>
    <x v="3"/>
    <x v="0"/>
    <s v="Testkunde 2"/>
    <x v="0"/>
    <s v="Lehrmann, Marcel;Festnetz;26-04-23;Testkunde 2"/>
  </r>
  <r>
    <x v="4"/>
    <x v="0"/>
    <s v="Meier"/>
    <x v="1"/>
    <s v="Lehrmann, Marcel;Mobilfunk;26-04-24;Meier"/>
  </r>
  <r>
    <x v="5"/>
    <x v="1"/>
    <s v="Kunze"/>
    <x v="1"/>
    <s v="Plottek, André;Mobilfunk;26-04-25;Kunze"/>
  </r>
  <r>
    <x v="6"/>
    <x v="0"/>
    <s v="Testkunde 3"/>
    <x v="0"/>
    <s v="Lehrmann, Marcel;Festnetz;26-04-26;Testkunde 3"/>
  </r>
  <r>
    <x v="7"/>
    <x v="0"/>
    <s v="Meier"/>
    <x v="1"/>
    <s v="Lehrmann, Marcel;Mobilfunk;26-04-27;Meier"/>
  </r>
  <r>
    <x v="8"/>
    <x v="1"/>
    <s v="Kunze"/>
    <x v="0"/>
    <s v="Plottek, André;Festnetz;26-04-28;Kunze"/>
  </r>
  <r>
    <x v="9"/>
    <x v="0"/>
    <s v="Testkunde 4"/>
    <x v="0"/>
    <s v="Lehrmann, Marcel;Festnetz;26-04-29;Testkunde 4"/>
  </r>
  <r>
    <x v="10"/>
    <x v="0"/>
    <s v="Meier"/>
    <x v="1"/>
    <s v="Lehrmann, Marcel;Mobilfunk;26-04-30;Meier"/>
  </r>
  <r>
    <x v="11"/>
    <x v="1"/>
    <s v="Kunze"/>
    <x v="2"/>
    <s v="Plottek, André;Daten;26-05-01;Kunze"/>
  </r>
  <r>
    <x v="12"/>
    <x v="0"/>
    <s v="Testkunde 5"/>
    <x v="0"/>
    <s v="Lehrmann, Marcel;Festnetz;26-05-02;Testkunde 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4ADE78-6AD8-4778-807C-6C4C64F9FE0A}" name="PivotTable2" cacheId="0" applyNumberFormats="0" applyBorderFormats="0" applyFontFormats="0" applyPatternFormats="0" applyAlignmentFormats="0" applyWidthHeightFormats="1" dataCaption="Werte" grandTotalCaption="Summe" updatedVersion="8" minRefreshableVersion="3" itemPrintTitles="1" createdVersion="8" indent="0" outline="1" outlineData="1" multipleFieldFilters="0" rowHeaderCaption="Mitarbeiter" colHeaderCaption="Anzahl">
  <location ref="H2:L10" firstHeaderRow="1" firstDataRow="2" firstDataCol="1"/>
  <pivotFields count="7">
    <pivotField numFmtId="14" showAll="0">
      <items count="14">
        <item x="0"/>
        <item x="1"/>
        <item x="2"/>
        <item x="3"/>
        <item x="4"/>
        <item x="5"/>
        <item x="6"/>
        <item x="7"/>
        <item x="8"/>
        <item x="9"/>
        <item x="10"/>
        <item x="11"/>
        <item x="12"/>
        <item t="default"/>
      </items>
    </pivotField>
    <pivotField axis="axisRow" showAll="0">
      <items count="3">
        <item x="0"/>
        <item x="1"/>
        <item t="default"/>
      </items>
    </pivotField>
    <pivotField showAll="0"/>
    <pivotField axis="axisCol" showAll="0">
      <items count="4">
        <item x="2"/>
        <item x="0"/>
        <item x="1"/>
        <item t="default"/>
      </items>
    </pivotField>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1"/>
    <field x="6"/>
  </rowFields>
  <rowItems count="7">
    <i>
      <x/>
    </i>
    <i r="1">
      <x v="4"/>
    </i>
    <i r="1">
      <x v="5"/>
    </i>
    <i>
      <x v="1"/>
    </i>
    <i r="1">
      <x v="4"/>
    </i>
    <i r="1">
      <x v="5"/>
    </i>
    <i t="grand">
      <x/>
    </i>
  </rowItems>
  <colFields count="1">
    <field x="3"/>
  </colFields>
  <colItems count="4">
    <i>
      <x/>
    </i>
    <i>
      <x v="1"/>
    </i>
    <i>
      <x v="2"/>
    </i>
    <i t="grand">
      <x/>
    </i>
  </colItems>
  <dataFields count="1">
    <dataField name="Überblick" fld="4" subtotal="count" baseField="0" baseItem="0" numFmtId="3"/>
  </dataField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itarbeiter" xr10:uid="{F7C9FD3F-F077-4FEB-9C0B-D3CACD5A8E1A}" sourceName="Mitarbeiter">
  <extLst>
    <x:ext xmlns:x15="http://schemas.microsoft.com/office/spreadsheetml/2010/11/main" uri="{2F2917AC-EB37-4324-AD4E-5DD8C200BD13}">
      <x15:tableSlicerCache tableId="13"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erminart" xr10:uid="{7E2EB063-22F7-477B-8A8B-BF0B4C8CC83A}" sourceName="Terminart">
  <extLst>
    <x:ext xmlns:x15="http://schemas.microsoft.com/office/spreadsheetml/2010/11/main" uri="{2F2917AC-EB37-4324-AD4E-5DD8C200BD13}">
      <x15:tableSlicerCache tableId="13"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 xr10:uid="{79F1B638-19BB-4E30-8B9C-7BD9D2CC1C15}" sourceName="Jahr">
  <extLst>
    <x:ext xmlns:x15="http://schemas.microsoft.com/office/spreadsheetml/2010/11/main" uri="{2F2917AC-EB37-4324-AD4E-5DD8C200BD13}">
      <x15:tableSlicerCache tableId="13"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itarbeiter" xr10:uid="{D7051620-5C23-41E5-8BBE-B430420858C3}" cache="Datenschnitt_Mitarbeiter" caption="Mitarbeiter" columnCount="3" style="SlicerStyleLight3" rowHeight="252000"/>
  <slicer name="Terminart" xr10:uid="{40E42F6E-5ACF-47CA-B5E6-E28F99C4238C}" cache="Datenschnitt_Terminart" caption="Terminart" columnCount="4" style="SlicerStyleLight3" rowHeight="257175"/>
  <slicer name="Jahr" xr10:uid="{DD21F11E-6AFC-4C40-AE21-C742549E6564}" cache="Datenschnitt_Jahr" caption="Jahr" columnCount="4" style="SlicerStyleLight3"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704A6A5-C49E-4A0B-99F0-E7CE7AAFA582}" name="tblTermine" displayName="tblTermine" ref="B2:I48" totalsRowShown="0" headerRowDxfId="63" dataDxfId="62" tableBorderDxfId="61">
  <autoFilter ref="B2:I48" xr:uid="{0704A6A5-C49E-4A0B-99F0-E7CE7AAFA582}">
    <filterColumn colId="5">
      <filters>
        <filter val="Eigentermin"/>
      </filters>
    </filterColumn>
  </autoFilter>
  <sortState xmlns:xlrd2="http://schemas.microsoft.com/office/spreadsheetml/2017/richdata2" ref="B4:I46">
    <sortCondition ref="B2:B46"/>
  </sortState>
  <tableColumns count="8">
    <tableColumn id="2" xr3:uid="{8156317B-9E36-4785-8D6D-460D9D1D8991}" name="Datum" dataDxfId="60"/>
    <tableColumn id="1" xr3:uid="{4F4C4E96-F5A3-411E-9033-B2D683445C4B}" name="Mitarbeiter" dataDxfId="59"/>
    <tableColumn id="3" xr3:uid="{7C66D539-5D98-40EF-8BDF-F63239C5232C}" name="Terminart" dataDxfId="58"/>
    <tableColumn id="4" xr3:uid="{F17AD5F5-D0D4-4A89-AF55-3D41E814A241}" name="Agent" dataDxfId="57"/>
    <tableColumn id="6" xr3:uid="{9A24EE8A-92EA-4421-8786-5F1DA0A50BB0}" name="Display Id" dataDxfId="56">
      <calculatedColumnFormula array="1">TerminArtId(tblTermine[[#This Row],[Terminart]], tblTermine[[#This Row],[Agent]])</calculatedColumnFormula>
    </tableColumn>
    <tableColumn id="5" xr3:uid="{13A762E2-0F69-4503-A808-667079702A4F}" name="Display" dataDxfId="55">
      <calculatedColumnFormula array="1">TerminArtDisplay(tblTermine[[#This Row],[Terminart]], tblTermine[[#This Row],[Agent]])</calculatedColumnFormula>
    </tableColumn>
    <tableColumn id="7" xr3:uid="{2DE66315-E983-4823-9846-C97F4E1921E8}" name="SearchTerm" dataDxfId="54">
      <calculatedColumnFormula array="1">MakeSearchTerm(tblTermine[[#This Row],[Mitarbeiter]], tblTermine[[#This Row],[Datum]])</calculatedColumnFormula>
    </tableColumn>
    <tableColumn id="8" xr3:uid="{D280D6C1-0DE5-4361-A58D-92A7C42F0305}" name="Jahr" dataDxfId="15">
      <calculatedColumnFormula>YEAR(tblTermine[[#This Row],[Datum]])</calculatedColumnFormula>
    </tableColumn>
  </tableColumns>
  <tableStyleInfo name="TableStyleLight11" showFirstColumn="0" showLastColumn="0" showRowStripes="1"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06544A-5D4C-4637-88E9-403B46B90FB7}" name="tblAngebote" displayName="tblAngebote" ref="B2:F15" totalsRowShown="0" headerRowDxfId="53" dataDxfId="52">
  <autoFilter ref="B2:F15" xr:uid="{4506544A-5D4C-4637-88E9-403B46B90FB7}"/>
  <tableColumns count="5">
    <tableColumn id="2" xr3:uid="{083F5CFD-F641-40A5-B071-9B02A30A5D05}" name="Datum" dataDxfId="51"/>
    <tableColumn id="1" xr3:uid="{B0F6567E-3711-4B2D-8269-34EA0241E847}" name="Mitarbeiter" dataDxfId="50"/>
    <tableColumn id="3" xr3:uid="{48ECF7B8-6226-4AF8-8034-2D6CC48AB5F1}" name="Kunde" dataDxfId="49"/>
    <tableColumn id="4" xr3:uid="{FDCF0D5E-29D8-4948-904D-A62FF6AD0D04}" name="Art" dataDxfId="48"/>
    <tableColumn id="5" xr3:uid="{4FD2372F-EADB-4BC4-854B-F9BFCC9D7386}" name="ID" dataDxfId="47">
      <calculatedColumnFormula>tblAngebote[[#This Row],[Mitarbeiter]]&amp;";"&amp;tblAngebote[[#This Row],[Art]]&amp;";"&amp;TEXT(tblAngebote[[#This Row],[Datum]],"JJ-MM-TT")&amp;";"&amp;tblAngebote[[#This Row],[Kunde]]</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A6CD101-97A8-4D9D-8441-2AAA781C4351}" name="tblVBNames" displayName="tblVBNames" ref="O2:Q9" totalsRowShown="0" headerRowDxfId="46" dataDxfId="45">
  <autoFilter ref="O2:Q9" xr:uid="{0A6CD101-97A8-4D9D-8441-2AAA781C4351}"/>
  <sortState xmlns:xlrd2="http://schemas.microsoft.com/office/spreadsheetml/2017/richdata2" ref="O3:O8">
    <sortCondition ref="O3:O8"/>
  </sortState>
  <tableColumns count="3">
    <tableColumn id="1" xr3:uid="{B02F0E02-B194-4482-8914-C1B36FA16C1E}" name="Mitarbeiter" dataDxfId="44"/>
    <tableColumn id="2" xr3:uid="{98B880A8-EA39-46FB-AAF9-0D3B68B32F13}" name="Aktiv" dataDxfId="43"/>
    <tableColumn id="3" xr3:uid="{B75D8DE0-BFB8-492F-818D-FD8C2FE4C967}" name="Bundesland" dataDxfId="42"/>
  </tableColumns>
  <tableStyleInfo name="TableStyleLight10"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3ED892-7D08-4696-945F-DDBC849A4DE3}" name="tblTerminArten" displayName="tblTerminArten" ref="W2:W7" totalsRowShown="0" headerRowDxfId="41">
  <autoFilter ref="W2:W7" xr:uid="{1C3ED892-7D08-4696-945F-DDBC849A4DE3}"/>
  <tableColumns count="1">
    <tableColumn id="1" xr3:uid="{C33A70F3-D304-45FC-B3E9-6B1335357150}" name="Terminarten"/>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69ED82-6777-446B-982B-61B0DB9A40A5}" name="tblFeiertage" displayName="tblFeiertage" ref="A2:J42" totalsRowShown="0" headerRowDxfId="40">
  <autoFilter ref="A2:J42" xr:uid="{1969ED82-6777-446B-982B-61B0DB9A40A5}"/>
  <sortState xmlns:xlrd2="http://schemas.microsoft.com/office/spreadsheetml/2017/richdata2" ref="A3:J42">
    <sortCondition ref="D2:D42"/>
  </sortState>
  <tableColumns count="10">
    <tableColumn id="1" xr3:uid="{BE1596AE-D78B-48C4-86FC-ADA91F9DCFEF}" name="Name"/>
    <tableColumn id="3" xr3:uid="{AC45B1E8-A0F3-40C9-BB86-371C343EF626}" name="Bundesland" dataDxfId="39"/>
    <tableColumn id="8" xr3:uid="{5745ACF8-694A-42AA-8AE9-8B58B3372170}" name="2025" dataDxfId="38"/>
    <tableColumn id="2" xr3:uid="{C48A8DAD-CE3B-4D6B-8E62-725E3888C305}" name="2026" dataDxfId="37"/>
    <tableColumn id="4" xr3:uid="{897A202C-4A4C-4A55-8247-E4EB29C3F97B}" name="2027" dataDxfId="36"/>
    <tableColumn id="5" xr3:uid="{0FB01786-7A04-4F35-9D38-AFD2AD2638C3}" name="2028" dataDxfId="35"/>
    <tableColumn id="6" xr3:uid="{302D3E39-AD75-47A2-9639-306F8B448AAF}" name="2029" dataDxfId="34"/>
    <tableColumn id="7" xr3:uid="{0FE51F71-0989-436C-ABB1-13B8CB73226F}" name="2030" dataDxfId="33"/>
    <tableColumn id="9" xr3:uid="{801FA2F5-46BF-4A2D-AF5D-A86B9070032E}" name="2031" dataDxfId="32"/>
    <tableColumn id="10" xr3:uid="{5F8B743A-930A-4C43-9503-20AD9BA19EE1}" name="2032" dataDxfId="31"/>
  </tableColumns>
  <tableStyleInfo name="TableStyleLight10" showFirstColumn="0" showLastColumn="0" showRowStripes="1" showColumnStripes="1"/>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396FF18-5E16-4C98-BAC2-E7B2B734BBF6}" name="tblBundesländer" displayName="tblBundesländer" ref="T2:U19" totalsRowShown="0" headerRowDxfId="30">
  <autoFilter ref="T2:U19" xr:uid="{0396FF18-5E16-4C98-BAC2-E7B2B734BBF6}"/>
  <tableColumns count="2">
    <tableColumn id="1" xr3:uid="{A2D3AD82-C418-4BD7-94C2-8879965860AC}" name="Bundesland"/>
    <tableColumn id="2" xr3:uid="{91474D4C-BF36-43E2-9077-AABE03EBA60C}" name="Kurz"/>
  </tableColumns>
  <tableStyleInfo name="TableStyleLight10" showFirstColumn="0"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2006EB-2BAC-453B-94F8-2D86A4DBF779}" name="tblOstern" displayName="tblOstern" ref="L2:M10" totalsRowShown="0" headerRowDxfId="29" dataDxfId="28">
  <autoFilter ref="L2:M10" xr:uid="{8C2006EB-2BAC-453B-94F8-2D86A4DBF779}"/>
  <tableColumns count="2">
    <tableColumn id="1" xr3:uid="{50AF7BF2-DC5D-4C02-B687-89B5DF2FCD05}" name="Jahr" dataDxfId="27"/>
    <tableColumn id="2" xr3:uid="{DA9571F8-627B-4F78-8D34-0081BE4FAE0D}" name="Ostersonntag" dataDxfId="26">
      <calculatedColumnFormula array="1">Ostersonntag(tblOstern[[#This Row],[Jahr]])</calculatedColumnFormula>
    </tableColumn>
  </tableColumns>
  <tableStyleInfo name="TableStyleLight10" showFirstColumn="0"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E3ED0EF-850D-4CD8-9ECA-946BE71A067F}" name="tblAngebotArt" displayName="tblAngebotArt" ref="Y2:Y7" totalsRowShown="0" headerRowDxfId="25" dataDxfId="24">
  <autoFilter ref="Y2:Y7" xr:uid="{3E3ED0EF-850D-4CD8-9ECA-946BE71A067F}"/>
  <tableColumns count="1">
    <tableColumn id="1" xr3:uid="{7E4D0933-FAC2-4DF1-89DB-533A6F6F70C1}" name="Angebotarten" dataDxfId="23"/>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BE01975-F4F4-471B-8F3B-FC183ADA18AC}" name="tblDeveloper" displayName="tblDeveloper" ref="A6:F13" totalsRowShown="0" headerRowDxfId="22" dataDxfId="21">
  <autoFilter ref="A6:F13" xr:uid="{EBE01975-F4F4-471B-8F3B-FC183ADA18AC}"/>
  <tableColumns count="6">
    <tableColumn id="1" xr3:uid="{5D4793F9-A18C-4D83-8DC9-BE202B8D5BA8}" name="Headers" dataDxfId="20"/>
    <tableColumn id="7" xr3:uid="{F786F3AD-2BC4-4898-B4D0-6C037B3B1ABC}" name="Types"/>
    <tableColumn id="2" xr3:uid="{C72FED5D-030A-4343-9E91-F3B9BB085555}" name="VBA Names" dataDxfId="19">
      <calculatedColumnFormula>_xlfn.REGEXREPLACE(tblDeveloper[[#This Row],[Headers]], "\W", "")</calculatedColumnFormula>
    </tableColumn>
    <tableColumn id="3" xr3:uid="{6C6E7038-9E19-4CF2-BF7B-A07EC5FF9AD8}" name="Class Enums" dataDxfId="18">
      <calculatedColumnFormula>IF(DevEnumPrefix = "", "",DevEnumPrefix &amp; tblDeveloper[[#This Row],[VBA Names]] &amp; IF(ROW() = 7, " = 1", ""))</calculatedColumnFormula>
    </tableColumn>
    <tableColumn id="6" xr3:uid="{486B87AB-DCB6-4176-9D34-E390F150A787}" name="Var-Declarations" dataDxfId="17">
      <calculatedColumnFormula xml:space="preserve"> IF(ISBLANK(DevVarPrefix), "", DevVarPrefix &amp; " ") &amp; tblDeveloper[[#This Row],[VBA Names]] &amp; " As " &amp; IF(ISBLANK(tblDeveloper[[#This Row],[Types]]), "String", tblDeveloper[[#This Row],[Types]])</calculatedColumnFormula>
    </tableColumn>
    <tableColumn id="4" xr3:uid="{410DE6B4-4515-47C1-8908-5FE55043D081}" name="Assignments" dataDxfId="16">
      <calculatedColumnFormula>IF(ISBLANK(DevEnumPrefix), "", tblDeveloper[[#This Row],[VBA Names]] &amp; " = " &amp; "values(1, " &amp; DevEnumPrefix &amp; tblDeveloper[[#This Row],[VBA Names]] &amp; ")")</calculatedColumnFormula>
    </tableColumn>
  </tableColumns>
  <tableStyleInfo name="TableStyleLight13" showFirstColumn="0" showLastColumn="0" showRowStripes="1" showColumnStripes="1"/>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21E4341-6957-457E-8397-C0B40C9F3817}">
  <we:reference id="WA200003696" version="1.3.0.0" store="Omex" storeType="OMEX"/>
  <we:alternateReferences>
    <we:reference id="WA200003696" version="1.3.0.0" store="WA200003696" storeType="OMEX"/>
  </we:alternateReferences>
  <we:properties>
    <we:property name="projectV0_1-56c6e055-265e-4713-816e-a646dbb708de" value="{&quot;kind&quot;:&quot;AFEJSONBlobNode&quot;,&quot;id&quot;:&quot;{BA60D933-98D7-429C-BDF0-C84E2D2C8C7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C7360-0A17-484D-9E3C-FC8D8592A6F3}">
  <sheetPr codeName="shTerminÜbersicht">
    <pageSetUpPr fitToPage="1"/>
  </sheetPr>
  <dimension ref="A1:R50"/>
  <sheetViews>
    <sheetView showGridLines="0" tabSelected="1" zoomScaleNormal="100" workbookViewId="0">
      <selection activeCell="F42" sqref="F42"/>
    </sheetView>
  </sheetViews>
  <sheetFormatPr baseColWidth="10" defaultRowHeight="15" x14ac:dyDescent="0.25"/>
  <cols>
    <col min="1" max="1" width="6.25" style="14" customWidth="1"/>
    <col min="2" max="2" width="0.875" style="14" customWidth="1"/>
    <col min="3" max="3" width="23.125" style="14" customWidth="1"/>
    <col min="4" max="5" width="13.625" style="14" customWidth="1"/>
    <col min="6" max="10" width="13.625" style="15" customWidth="1"/>
    <col min="11" max="11" width="1.625" style="14" customWidth="1"/>
    <col min="12" max="12" width="23.5" style="14" customWidth="1"/>
    <col min="13" max="13" width="7.375" style="21" customWidth="1"/>
    <col min="14" max="14" width="1.375" style="14" customWidth="1"/>
    <col min="15" max="15" width="11" style="14"/>
    <col min="16" max="16" width="6.875" style="15" customWidth="1"/>
    <col min="17" max="16384" width="11" style="14"/>
  </cols>
  <sheetData>
    <row r="1" spans="1:16" s="19" customFormat="1" ht="27" customHeight="1" x14ac:dyDescent="0.25">
      <c r="C1" s="19" t="s">
        <v>97</v>
      </c>
      <c r="D1" s="54">
        <v>46140</v>
      </c>
      <c r="L1" s="20"/>
    </row>
    <row r="3" spans="1:16" ht="15.75" x14ac:dyDescent="0.25">
      <c r="A3" s="13"/>
      <c r="B3" s="13"/>
      <c r="C3" s="48" t="s">
        <v>115</v>
      </c>
      <c r="D3" s="25" t="s">
        <v>90</v>
      </c>
      <c r="E3" s="25" t="s">
        <v>17</v>
      </c>
      <c r="F3" s="25" t="s">
        <v>18</v>
      </c>
      <c r="G3" s="25" t="s">
        <v>99</v>
      </c>
      <c r="H3" s="27" t="s">
        <v>98</v>
      </c>
      <c r="I3" s="25" t="s">
        <v>91</v>
      </c>
      <c r="J3" s="27" t="s">
        <v>92</v>
      </c>
      <c r="L3" s="49" t="s">
        <v>3</v>
      </c>
    </row>
    <row r="4" spans="1:16" ht="15" customHeight="1" x14ac:dyDescent="0.25"/>
    <row r="5" spans="1:16" s="16" customFormat="1" ht="15.95" customHeight="1" x14ac:dyDescent="0.25">
      <c r="C5" s="23" t="s">
        <v>88</v>
      </c>
      <c r="D5" s="24" cm="1">
        <f t="array" ref="D5">KWStart(YEAR(TerminStichtag), C6)</f>
        <v>46153</v>
      </c>
      <c r="E5" s="24">
        <f>D5 + 1</f>
        <v>46154</v>
      </c>
      <c r="F5" s="24">
        <f t="shared" ref="F5:J5" si="0">E5+1</f>
        <v>46155</v>
      </c>
      <c r="G5" s="24">
        <f t="shared" si="0"/>
        <v>46156</v>
      </c>
      <c r="H5" s="24">
        <f t="shared" si="0"/>
        <v>46157</v>
      </c>
      <c r="I5" s="24">
        <f t="shared" si="0"/>
        <v>46158</v>
      </c>
      <c r="J5" s="24">
        <f t="shared" si="0"/>
        <v>46159</v>
      </c>
      <c r="L5" s="45" t="str">
        <f>"KW " &amp; C6 &amp; " gesamt:"</f>
        <v>KW 20 gesamt:</v>
      </c>
      <c r="M5" s="46"/>
      <c r="O5" s="45" t="s">
        <v>119</v>
      </c>
      <c r="P5" s="58"/>
    </row>
    <row r="6" spans="1:16" s="17" customFormat="1" ht="15.95" customHeight="1" x14ac:dyDescent="0.25">
      <c r="C6" s="66">
        <f>C13+1</f>
        <v>20</v>
      </c>
      <c r="D6" s="25" t="str" cm="1">
        <f t="array" ref="D6">TerminAnTag(TerminMitarbeiter, D5)</f>
        <v/>
      </c>
      <c r="E6" s="25" t="str" cm="1">
        <f t="array" ref="E6">TerminAnTag(TerminMitarbeiter, E5)</f>
        <v/>
      </c>
      <c r="F6" s="25" t="str" cm="1">
        <f t="array" ref="F6">TerminAnTag(TerminMitarbeiter, F5)</f>
        <v/>
      </c>
      <c r="G6" s="25" t="str" cm="1">
        <f t="array" ref="G6">TerminAnTag(TerminMitarbeiter, G5)</f>
        <v/>
      </c>
      <c r="H6" s="25" t="str" cm="1">
        <f t="array" ref="H6">TerminAnTag(TerminMitarbeiter, H5)</f>
        <v/>
      </c>
      <c r="I6" s="77" t="str" cm="1">
        <f t="array" ref="I6">TerminAnTag(TerminMitarbeiter, I5)</f>
        <v/>
      </c>
      <c r="J6" s="77" t="str" cm="1">
        <f t="array" ref="J6">TerminAnTag(TerminMitarbeiter, J5)</f>
        <v/>
      </c>
      <c r="L6" s="28" t="s">
        <v>80</v>
      </c>
      <c r="M6" s="29">
        <f>SUM(D10:J10)</f>
        <v>0</v>
      </c>
      <c r="O6" s="55" t="s">
        <v>116</v>
      </c>
      <c r="P6" s="59">
        <f>COUNTIFS(tblAngebote[Art], O6, tblAngebote[Mitarbeiter], TerminMitarbeiter, tblAngebote[Datum], "&gt;=" &amp; $D$5, tblAngebote[Datum], "&lt;=" &amp; $J$5)</f>
        <v>0</v>
      </c>
    </row>
    <row r="7" spans="1:16" s="17" customFormat="1" ht="15.95" customHeight="1" x14ac:dyDescent="0.25">
      <c r="C7" s="70"/>
      <c r="D7" s="68"/>
      <c r="E7" s="25"/>
      <c r="F7" s="25"/>
      <c r="G7" s="25"/>
      <c r="H7" s="25"/>
      <c r="I7" s="77"/>
      <c r="J7" s="77"/>
      <c r="L7" s="28" t="s">
        <v>94</v>
      </c>
      <c r="M7" s="29">
        <f>COUNTIF(D6:J9, "Urlaub")</f>
        <v>0</v>
      </c>
      <c r="O7" s="55" t="s">
        <v>117</v>
      </c>
      <c r="P7" s="59">
        <f>COUNTIFS(tblAngebote[Art], O7, tblAngebote[Mitarbeiter], TerminMitarbeiter, tblAngebote[Datum], "&gt;=" &amp; $D$5, tblAngebote[Datum], "&lt;=" &amp; $J$5)</f>
        <v>0</v>
      </c>
    </row>
    <row r="8" spans="1:16" s="17" customFormat="1" ht="15.95" customHeight="1" x14ac:dyDescent="0.25">
      <c r="C8" s="71"/>
      <c r="D8" s="68"/>
      <c r="E8" s="25"/>
      <c r="F8" s="25"/>
      <c r="G8" s="25"/>
      <c r="H8" s="25"/>
      <c r="I8" s="77"/>
      <c r="J8" s="77"/>
      <c r="L8" s="28" t="s">
        <v>95</v>
      </c>
      <c r="M8" s="29">
        <f>COUNTIF(D6:J9, "Feiertag")</f>
        <v>0</v>
      </c>
      <c r="O8" s="55" t="s">
        <v>118</v>
      </c>
      <c r="P8" s="59">
        <f>COUNTIFS(tblAngebote[Art], O8, tblAngebote[Mitarbeiter], TerminMitarbeiter, tblAngebote[Datum], "&gt;=" &amp; $D$5, tblAngebote[Datum], "&lt;=" &amp; $J$5)</f>
        <v>0</v>
      </c>
    </row>
    <row r="9" spans="1:16" s="17" customFormat="1" ht="15.95" customHeight="1" x14ac:dyDescent="0.25">
      <c r="C9" s="71"/>
      <c r="D9" s="68"/>
      <c r="E9" s="25"/>
      <c r="F9" s="25"/>
      <c r="G9" s="25"/>
      <c r="H9" s="25"/>
      <c r="I9" s="77"/>
      <c r="J9" s="77"/>
      <c r="L9" s="28" t="s">
        <v>93</v>
      </c>
      <c r="M9" s="29">
        <f>5-M8-M7</f>
        <v>5</v>
      </c>
      <c r="P9" s="18"/>
    </row>
    <row r="10" spans="1:16" s="17" customFormat="1" ht="15.95" customHeight="1" x14ac:dyDescent="0.25">
      <c r="C10" s="72"/>
      <c r="D10" s="69" cm="1">
        <f t="array" ref="D10">ANZAHLTERMINE(D6:D9)</f>
        <v>0</v>
      </c>
      <c r="E10" s="26" cm="1">
        <f t="array" ref="E10">ANZAHLTERMINE(E6:E9)</f>
        <v>0</v>
      </c>
      <c r="F10" s="26" cm="1">
        <f t="array" ref="F10">ANZAHLTERMINE(F6:F9)</f>
        <v>0</v>
      </c>
      <c r="G10" s="26" cm="1">
        <f t="array" ref="G10">ANZAHLTERMINE(G6:G9)</f>
        <v>0</v>
      </c>
      <c r="H10" s="26" cm="1">
        <f t="array" ref="H10">ANZAHLTERMINE(H6:H9)</f>
        <v>0</v>
      </c>
      <c r="I10" s="26" cm="1">
        <f t="array" ref="I10">ANZAHLTERMINE(I6:I9)</f>
        <v>0</v>
      </c>
      <c r="J10" s="26" cm="1">
        <f t="array" ref="J10">ANZAHLTERMINE(J6:J9)</f>
        <v>0</v>
      </c>
      <c r="L10" s="28" t="s">
        <v>96</v>
      </c>
      <c r="M10" s="30">
        <f>IF(M9=0,"",M6/M9)</f>
        <v>0</v>
      </c>
      <c r="P10" s="18"/>
    </row>
    <row r="11" spans="1:16" s="17" customFormat="1" ht="15.95" customHeight="1" x14ac:dyDescent="0.25">
      <c r="C11" s="18"/>
      <c r="D11" s="18"/>
      <c r="E11" s="18"/>
      <c r="F11" s="18"/>
      <c r="G11" s="18"/>
      <c r="H11" s="18"/>
      <c r="I11" s="18"/>
      <c r="J11" s="18"/>
      <c r="P11" s="18"/>
    </row>
    <row r="12" spans="1:16" s="17" customFormat="1" ht="15.95" customHeight="1" x14ac:dyDescent="0.25">
      <c r="C12" s="23" t="s">
        <v>88</v>
      </c>
      <c r="D12" s="24" cm="1">
        <f t="array" ref="D12">KWStart(YEAR(TerminStichtag), C13)</f>
        <v>46146</v>
      </c>
      <c r="E12" s="24">
        <f>D12 + 1</f>
        <v>46147</v>
      </c>
      <c r="F12" s="24">
        <f t="shared" ref="F12" si="1">E12+1</f>
        <v>46148</v>
      </c>
      <c r="G12" s="24">
        <f t="shared" ref="G12" si="2">F12+1</f>
        <v>46149</v>
      </c>
      <c r="H12" s="24">
        <f t="shared" ref="H12" si="3">G12+1</f>
        <v>46150</v>
      </c>
      <c r="I12" s="24">
        <f t="shared" ref="I12" si="4">H12+1</f>
        <v>46151</v>
      </c>
      <c r="J12" s="24">
        <f t="shared" ref="J12" si="5">I12+1</f>
        <v>46152</v>
      </c>
      <c r="L12" s="45" t="str">
        <f>"KW " &amp; C13 &amp; " gesamt:"</f>
        <v>KW 19 gesamt:</v>
      </c>
      <c r="M12" s="47"/>
      <c r="O12" s="45" t="s">
        <v>119</v>
      </c>
      <c r="P12" s="58"/>
    </row>
    <row r="13" spans="1:16" s="17" customFormat="1" ht="15.95" customHeight="1" x14ac:dyDescent="0.25">
      <c r="C13" s="67">
        <f>C20 + 1</f>
        <v>19</v>
      </c>
      <c r="D13" s="25" t="str" cm="1">
        <f t="array" ref="D13">TerminAnTag(TerminMitarbeiter, D12)</f>
        <v/>
      </c>
      <c r="E13" s="25" t="str" cm="1">
        <f t="array" ref="E13">TerminAnTag(TerminMitarbeiter, E12)</f>
        <v/>
      </c>
      <c r="F13" s="25" t="str" cm="1">
        <f t="array" ref="F13">TerminAnTag(TerminMitarbeiter, F12)</f>
        <v/>
      </c>
      <c r="G13" s="25" t="str" cm="1">
        <f t="array" ref="G13">TerminAnTag(TerminMitarbeiter, G12)</f>
        <v/>
      </c>
      <c r="H13" s="25" t="str" cm="1">
        <f t="array" ref="H13">TerminAnTag(TerminMitarbeiter, H12)</f>
        <v/>
      </c>
      <c r="I13" s="77" t="str" cm="1">
        <f t="array" ref="I13">TerminAnTag(TerminMitarbeiter, I12)</f>
        <v/>
      </c>
      <c r="J13" s="77" t="str" cm="1">
        <f t="array" ref="J13">TerminAnTag(TerminMitarbeiter, J12)</f>
        <v/>
      </c>
      <c r="L13" s="28" t="s">
        <v>80</v>
      </c>
      <c r="M13" s="29">
        <f>SUM(D17:J17)</f>
        <v>0</v>
      </c>
      <c r="O13" s="55" t="s">
        <v>116</v>
      </c>
      <c r="P13" s="59">
        <f>COUNTIFS(tblAngebote[Art], O13, tblAngebote[Mitarbeiter], TerminMitarbeiter, tblAngebote[Datum], "&gt;=" &amp; D12, tblAngebote[Datum], "&lt;=" &amp; J12)</f>
        <v>0</v>
      </c>
    </row>
    <row r="14" spans="1:16" s="17" customFormat="1" ht="15.95" customHeight="1" x14ac:dyDescent="0.25">
      <c r="C14" s="73"/>
      <c r="D14" s="68"/>
      <c r="E14" s="25"/>
      <c r="F14" s="25"/>
      <c r="G14" s="25"/>
      <c r="H14" s="25"/>
      <c r="I14" s="77"/>
      <c r="J14" s="77"/>
      <c r="L14" s="28" t="s">
        <v>94</v>
      </c>
      <c r="M14" s="29">
        <f>COUNTIF(D13:J16, "Urlaub")</f>
        <v>0</v>
      </c>
      <c r="O14" s="55" t="s">
        <v>117</v>
      </c>
      <c r="P14" s="59">
        <f>COUNTIFS(tblAngebote[Art], O14, tblAngebote[Mitarbeiter], TerminMitarbeiter, tblAngebote[Datum], "&gt;=" &amp; D12, tblAngebote[Datum], "&lt;=" &amp; J12)</f>
        <v>0</v>
      </c>
    </row>
    <row r="15" spans="1:16" s="17" customFormat="1" ht="15.95" customHeight="1" x14ac:dyDescent="0.25">
      <c r="C15" s="74"/>
      <c r="D15" s="68"/>
      <c r="E15" s="25"/>
      <c r="F15" s="25"/>
      <c r="G15" s="25"/>
      <c r="H15" s="25"/>
      <c r="I15" s="77"/>
      <c r="J15" s="77"/>
      <c r="L15" s="28" t="s">
        <v>95</v>
      </c>
      <c r="M15" s="29">
        <f>COUNTIF(D13:J16, "Feiertag")</f>
        <v>0</v>
      </c>
      <c r="O15" s="55" t="s">
        <v>118</v>
      </c>
      <c r="P15" s="59">
        <f>COUNTIFS(tblAngebote[Art], O15, tblAngebote[Mitarbeiter], TerminMitarbeiter, tblAngebote[Datum], "&gt;=" &amp; D12, tblAngebote[Datum], "&lt;=" &amp; J12)</f>
        <v>0</v>
      </c>
    </row>
    <row r="16" spans="1:16" s="17" customFormat="1" ht="15.95" customHeight="1" x14ac:dyDescent="0.25">
      <c r="C16" s="74"/>
      <c r="D16" s="68"/>
      <c r="E16" s="25"/>
      <c r="F16" s="25"/>
      <c r="G16" s="25"/>
      <c r="H16" s="25"/>
      <c r="I16" s="77"/>
      <c r="J16" s="77"/>
      <c r="L16" s="28" t="s">
        <v>93</v>
      </c>
      <c r="M16" s="29">
        <f>5-M15-M14</f>
        <v>5</v>
      </c>
      <c r="P16" s="18"/>
    </row>
    <row r="17" spans="3:16" s="17" customFormat="1" ht="15.95" customHeight="1" x14ac:dyDescent="0.25">
      <c r="C17" s="75"/>
      <c r="D17" s="69" cm="1">
        <f t="array" ref="D17">ANZAHLTERMINE(D13:D16)</f>
        <v>0</v>
      </c>
      <c r="E17" s="26" cm="1">
        <f t="array" ref="E17">ANZAHLTERMINE(E13:E16)</f>
        <v>0</v>
      </c>
      <c r="F17" s="26" cm="1">
        <f t="array" ref="F17">ANZAHLTERMINE(F13:F16)</f>
        <v>0</v>
      </c>
      <c r="G17" s="26" cm="1">
        <f t="array" ref="G17">ANZAHLTERMINE(G13:G16)</f>
        <v>0</v>
      </c>
      <c r="H17" s="26" cm="1">
        <f t="array" ref="H17">ANZAHLTERMINE(H13:H16)</f>
        <v>0</v>
      </c>
      <c r="I17" s="26" cm="1">
        <f t="array" ref="I17">ANZAHLTERMINE(I13:I16)</f>
        <v>0</v>
      </c>
      <c r="J17" s="26" cm="1">
        <f t="array" ref="J17">ANZAHLTERMINE(J13:J16)</f>
        <v>0</v>
      </c>
      <c r="L17" s="28" t="s">
        <v>96</v>
      </c>
      <c r="M17" s="30">
        <f>IF(M16=0,"",M13/M16)</f>
        <v>0</v>
      </c>
      <c r="P17" s="18"/>
    </row>
    <row r="18" spans="3:16" s="17" customFormat="1" ht="15.95" customHeight="1" x14ac:dyDescent="0.25">
      <c r="C18" s="18"/>
      <c r="D18" s="18"/>
      <c r="E18" s="18"/>
      <c r="F18" s="18"/>
      <c r="G18" s="18"/>
      <c r="H18" s="18"/>
      <c r="I18" s="18"/>
      <c r="J18" s="18"/>
      <c r="P18" s="18"/>
    </row>
    <row r="19" spans="3:16" s="17" customFormat="1" ht="15.95" customHeight="1" x14ac:dyDescent="0.25">
      <c r="C19" s="23" t="s">
        <v>88</v>
      </c>
      <c r="D19" s="24" cm="1">
        <f t="array" ref="D19">KWStart(YEAR(TerminStichtag), C20)</f>
        <v>46139</v>
      </c>
      <c r="E19" s="24">
        <f>D19 + 1</f>
        <v>46140</v>
      </c>
      <c r="F19" s="24">
        <f t="shared" ref="F19" si="6">E19+1</f>
        <v>46141</v>
      </c>
      <c r="G19" s="24">
        <f t="shared" ref="G19" si="7">F19+1</f>
        <v>46142</v>
      </c>
      <c r="H19" s="24">
        <f t="shared" ref="H19" si="8">G19+1</f>
        <v>46143</v>
      </c>
      <c r="I19" s="24">
        <f t="shared" ref="I19" si="9">H19+1</f>
        <v>46144</v>
      </c>
      <c r="J19" s="24">
        <f t="shared" ref="J19" si="10">I19+1</f>
        <v>46145</v>
      </c>
      <c r="K19" s="18"/>
      <c r="L19" s="45" t="str">
        <f>"KW " &amp; C20 &amp; " gesamt:"</f>
        <v>KW 18 gesamt:</v>
      </c>
      <c r="M19" s="47"/>
      <c r="O19" s="45" t="s">
        <v>119</v>
      </c>
      <c r="P19" s="58"/>
    </row>
    <row r="20" spans="3:16" s="17" customFormat="1" ht="15.95" customHeight="1" x14ac:dyDescent="0.25">
      <c r="C20" s="67">
        <f>WEEKNUM(TerminStichtag, 2)</f>
        <v>18</v>
      </c>
      <c r="D20" s="25" t="str" cm="1">
        <f t="array" ref="D20:D21">TerminAnTag(TerminMitarbeiter, D19)</f>
        <v>Eigentermin</v>
      </c>
      <c r="E20" s="25" t="str" cm="1">
        <f t="array" ref="E20">TerminAnTag(TerminMitarbeiter, E19)</f>
        <v>Urlaub</v>
      </c>
      <c r="F20" s="25" t="str" cm="1">
        <f t="array" ref="F20">TerminAnTag(TerminMitarbeiter, F19)</f>
        <v>Bestand (IE)</v>
      </c>
      <c r="G20" s="25" t="str" cm="1">
        <f t="array" ref="G20">TerminAnTag(TerminMitarbeiter, G19)</f>
        <v>Neu (AP)</v>
      </c>
      <c r="H20" s="25" t="str" cm="1">
        <f t="array" ref="H20">TerminAnTag(TerminMitarbeiter, H19)</f>
        <v/>
      </c>
      <c r="I20" s="77" t="str" cm="1">
        <f t="array" ref="I20">TerminAnTag(TerminMitarbeiter, I19)</f>
        <v/>
      </c>
      <c r="J20" s="77" t="str" cm="1">
        <f t="array" ref="J20">TerminAnTag(TerminMitarbeiter, J19)</f>
        <v/>
      </c>
      <c r="L20" s="28" t="s">
        <v>80</v>
      </c>
      <c r="M20" s="29">
        <f>SUM(D24:J24)</f>
        <v>4</v>
      </c>
      <c r="O20" s="55" t="s">
        <v>116</v>
      </c>
      <c r="P20" s="59">
        <f>COUNTIFS(tblAngebote[Art], O20, tblAngebote[Mitarbeiter], TerminMitarbeiter, tblAngebote[Datum], "&gt;=" &amp; D19, tblAngebote[Datum], "&lt;=" &amp; J19)</f>
        <v>0</v>
      </c>
    </row>
    <row r="21" spans="3:16" s="17" customFormat="1" ht="15.95" customHeight="1" x14ac:dyDescent="0.25">
      <c r="C21" s="73"/>
      <c r="D21" s="68" t="str">
        <v>Neu (IE)</v>
      </c>
      <c r="E21" s="25"/>
      <c r="F21" s="25"/>
      <c r="G21" s="25"/>
      <c r="H21" s="25"/>
      <c r="I21" s="77"/>
      <c r="J21" s="77"/>
      <c r="L21" s="28" t="s">
        <v>94</v>
      </c>
      <c r="M21" s="29">
        <f>COUNTIF(D20:J23, "Urlaub")</f>
        <v>1</v>
      </c>
      <c r="O21" s="55" t="s">
        <v>117</v>
      </c>
      <c r="P21" s="59">
        <f>COUNTIFS(tblAngebote[Art], O21, tblAngebote[Mitarbeiter], TerminMitarbeiter, tblAngebote[Datum], "&gt;=" &amp; D19, tblAngebote[Datum], "&lt;=" &amp; J19)</f>
        <v>1</v>
      </c>
    </row>
    <row r="22" spans="3:16" s="17" customFormat="1" ht="15.95" customHeight="1" x14ac:dyDescent="0.25">
      <c r="C22" s="74"/>
      <c r="D22" s="68"/>
      <c r="E22" s="25"/>
      <c r="F22" s="25"/>
      <c r="G22" s="25"/>
      <c r="H22" s="25"/>
      <c r="I22" s="77"/>
      <c r="J22" s="77"/>
      <c r="L22" s="28" t="s">
        <v>95</v>
      </c>
      <c r="M22" s="29">
        <f>COUNTIF(D20:J23, "Feiertag")</f>
        <v>0</v>
      </c>
      <c r="O22" s="55" t="s">
        <v>118</v>
      </c>
      <c r="P22" s="59">
        <f>COUNTIFS(tblAngebote[Art], O22, tblAngebote[Mitarbeiter], TerminMitarbeiter, tblAngebote[Datum], "&gt;=" &amp; D19, tblAngebote[Datum], "&lt;=" &amp; J19)</f>
        <v>0</v>
      </c>
    </row>
    <row r="23" spans="3:16" s="17" customFormat="1" ht="15.95" customHeight="1" x14ac:dyDescent="0.25">
      <c r="C23" s="74"/>
      <c r="D23" s="68"/>
      <c r="E23" s="25"/>
      <c r="F23" s="25"/>
      <c r="G23" s="25"/>
      <c r="H23" s="25"/>
      <c r="I23" s="77"/>
      <c r="J23" s="77"/>
      <c r="L23" s="28" t="s">
        <v>93</v>
      </c>
      <c r="M23" s="29">
        <f>5-M22-M21</f>
        <v>4</v>
      </c>
      <c r="P23" s="18"/>
    </row>
    <row r="24" spans="3:16" s="17" customFormat="1" ht="15.95" customHeight="1" x14ac:dyDescent="0.25">
      <c r="C24" s="76"/>
      <c r="D24" s="69" cm="1">
        <f t="array" ref="D24">ANZAHLTERMINE(D20:D23)</f>
        <v>2</v>
      </c>
      <c r="E24" s="26" cm="1">
        <f t="array" ref="E24">ANZAHLTERMINE(E20:E23)</f>
        <v>0</v>
      </c>
      <c r="F24" s="26" cm="1">
        <f t="array" ref="F24">ANZAHLTERMINE(F20:F23)</f>
        <v>1</v>
      </c>
      <c r="G24" s="26" cm="1">
        <f t="array" ref="G24">ANZAHLTERMINE(G20:G23)</f>
        <v>1</v>
      </c>
      <c r="H24" s="26" cm="1">
        <f t="array" ref="H24">ANZAHLTERMINE(H20:H23)</f>
        <v>0</v>
      </c>
      <c r="I24" s="26" cm="1">
        <f t="array" ref="I24">ANZAHLTERMINE(I20:I23)</f>
        <v>0</v>
      </c>
      <c r="J24" s="26" cm="1">
        <f t="array" ref="J24">ANZAHLTERMINE(J20:J23)</f>
        <v>0</v>
      </c>
      <c r="L24" s="28" t="s">
        <v>96</v>
      </c>
      <c r="M24" s="30">
        <f>IF(M23=0,"",M20/M23)</f>
        <v>1</v>
      </c>
      <c r="P24" s="18"/>
    </row>
    <row r="25" spans="3:16" s="17" customFormat="1" ht="15.95" customHeight="1" x14ac:dyDescent="0.25">
      <c r="C25" s="18"/>
      <c r="D25" s="18"/>
      <c r="E25" s="18"/>
      <c r="F25" s="18"/>
      <c r="G25" s="18"/>
      <c r="H25" s="18"/>
      <c r="I25" s="18"/>
      <c r="J25" s="18"/>
      <c r="P25" s="18"/>
    </row>
    <row r="26" spans="3:16" s="17" customFormat="1" ht="15.95" customHeight="1" x14ac:dyDescent="0.25">
      <c r="C26" s="23" t="s">
        <v>88</v>
      </c>
      <c r="D26" s="24" cm="1">
        <f t="array" ref="D26">KWStart(YEAR(TerminStichtag), C27)</f>
        <v>46132</v>
      </c>
      <c r="E26" s="24">
        <f>D26 + 1</f>
        <v>46133</v>
      </c>
      <c r="F26" s="24">
        <f t="shared" ref="F26" si="11">E26+1</f>
        <v>46134</v>
      </c>
      <c r="G26" s="24">
        <f t="shared" ref="G26" si="12">F26+1</f>
        <v>46135</v>
      </c>
      <c r="H26" s="24">
        <f t="shared" ref="H26" si="13">G26+1</f>
        <v>46136</v>
      </c>
      <c r="I26" s="24">
        <f t="shared" ref="I26" si="14">H26+1</f>
        <v>46137</v>
      </c>
      <c r="J26" s="24">
        <f t="shared" ref="J26" si="15">I26+1</f>
        <v>46138</v>
      </c>
      <c r="L26" s="45" t="str">
        <f>"KW " &amp; C27 &amp; " gesamt:"</f>
        <v>KW 17 gesamt:</v>
      </c>
      <c r="M26" s="47"/>
      <c r="O26" s="45" t="s">
        <v>119</v>
      </c>
      <c r="P26" s="58"/>
    </row>
    <row r="27" spans="3:16" s="17" customFormat="1" ht="15.95" customHeight="1" x14ac:dyDescent="0.25">
      <c r="C27" s="67">
        <f>C20-1</f>
        <v>17</v>
      </c>
      <c r="D27" s="25" t="str" cm="1">
        <f t="array" ref="D27:D28">TerminAnTag(TerminMitarbeiter, D26)</f>
        <v>Neu (ZZ)</v>
      </c>
      <c r="E27" s="25" t="str" cm="1">
        <f t="array" ref="E27">TerminAnTag(TerminMitarbeiter, E26)</f>
        <v/>
      </c>
      <c r="F27" s="25" t="str" cm="1">
        <f t="array" ref="F27:F28">TerminAnTag(TerminMitarbeiter, F26)</f>
        <v>Alt-KB (AP)</v>
      </c>
      <c r="G27" s="25" t="str" cm="1">
        <f t="array" ref="G27">TerminAnTag(TerminMitarbeiter, G26)</f>
        <v>Bestand</v>
      </c>
      <c r="H27" s="25" t="str" cm="1">
        <f t="array" ref="H27">TerminAnTag(TerminMitarbeiter, H26)</f>
        <v>Bestand</v>
      </c>
      <c r="I27" s="77" t="str" cm="1">
        <f t="array" ref="I27">TerminAnTag(TerminMitarbeiter, I26)</f>
        <v/>
      </c>
      <c r="J27" s="77" t="str" cm="1">
        <f t="array" ref="J27">TerminAnTag(TerminMitarbeiter, J26)</f>
        <v/>
      </c>
      <c r="K27" s="18"/>
      <c r="L27" s="28" t="s">
        <v>80</v>
      </c>
      <c r="M27" s="29">
        <f>SUM(D31:J31)</f>
        <v>6</v>
      </c>
      <c r="O27" s="55" t="s">
        <v>116</v>
      </c>
      <c r="P27" s="59">
        <f>COUNTIFS(tblAngebote[Art], O27, tblAngebote[Mitarbeiter], TerminMitarbeiter, tblAngebote[Datum], "&gt;=" &amp; D26, tblAngebote[Datum], "&lt;=" &amp; J26)</f>
        <v>1</v>
      </c>
    </row>
    <row r="28" spans="3:16" s="17" customFormat="1" ht="15.95" customHeight="1" x14ac:dyDescent="0.25">
      <c r="C28" s="73"/>
      <c r="D28" s="68" t="str">
        <v>Eigentermin</v>
      </c>
      <c r="E28" s="25"/>
      <c r="F28" s="25" t="str">
        <v>Bestand (IE)</v>
      </c>
      <c r="G28" s="25"/>
      <c r="H28" s="25"/>
      <c r="I28" s="77"/>
      <c r="J28" s="77"/>
      <c r="L28" s="28" t="s">
        <v>94</v>
      </c>
      <c r="M28" s="29">
        <f>COUNTIF(D27:J30, "Urlaub")</f>
        <v>0</v>
      </c>
      <c r="O28" s="55" t="s">
        <v>117</v>
      </c>
      <c r="P28" s="59">
        <f>COUNTIFS(tblAngebote[Art], O28, tblAngebote[Mitarbeiter], TerminMitarbeiter, tblAngebote[Datum], "&gt;=" &amp; D26, tblAngebote[Datum], "&lt;=" &amp; J26)</f>
        <v>0</v>
      </c>
    </row>
    <row r="29" spans="3:16" s="17" customFormat="1" ht="15.95" customHeight="1" x14ac:dyDescent="0.25">
      <c r="C29" s="74"/>
      <c r="D29" s="68"/>
      <c r="E29" s="25"/>
      <c r="F29" s="25"/>
      <c r="G29" s="25"/>
      <c r="H29" s="25"/>
      <c r="I29" s="77"/>
      <c r="J29" s="77"/>
      <c r="L29" s="28" t="s">
        <v>95</v>
      </c>
      <c r="M29" s="29">
        <f>COUNTIF(D27:J30, "Feiertag")</f>
        <v>0</v>
      </c>
      <c r="O29" s="55" t="s">
        <v>118</v>
      </c>
      <c r="P29" s="59">
        <f>COUNTIFS(tblAngebote[Art], O29, tblAngebote[Mitarbeiter], TerminMitarbeiter, tblAngebote[Datum], "&gt;=" &amp; D26, tblAngebote[Datum], "&lt;=" &amp; J26)</f>
        <v>0</v>
      </c>
    </row>
    <row r="30" spans="3:16" s="17" customFormat="1" ht="15.95" customHeight="1" x14ac:dyDescent="0.25">
      <c r="C30" s="74"/>
      <c r="D30" s="68"/>
      <c r="E30" s="25"/>
      <c r="F30" s="25"/>
      <c r="G30" s="25"/>
      <c r="H30" s="25"/>
      <c r="I30" s="77"/>
      <c r="J30" s="77"/>
      <c r="L30" s="28" t="s">
        <v>93</v>
      </c>
      <c r="M30" s="29">
        <f>5-M29-M28</f>
        <v>5</v>
      </c>
      <c r="P30" s="18"/>
    </row>
    <row r="31" spans="3:16" s="17" customFormat="1" ht="15.95" customHeight="1" x14ac:dyDescent="0.25">
      <c r="C31" s="76"/>
      <c r="D31" s="69" cm="1">
        <f t="array" ref="D31">ANZAHLTERMINE(D27:D30)</f>
        <v>2</v>
      </c>
      <c r="E31" s="26" cm="1">
        <f t="array" ref="E31">ANZAHLTERMINE(E27:E30)</f>
        <v>0</v>
      </c>
      <c r="F31" s="26" cm="1">
        <f t="array" ref="F31">ANZAHLTERMINE(F27:F30)</f>
        <v>2</v>
      </c>
      <c r="G31" s="26" cm="1">
        <f t="array" ref="G31">ANZAHLTERMINE(G27:G30)</f>
        <v>1</v>
      </c>
      <c r="H31" s="26" cm="1">
        <f t="array" ref="H31">ANZAHLTERMINE(H27:H30)</f>
        <v>1</v>
      </c>
      <c r="I31" s="26" cm="1">
        <f t="array" ref="I31">ANZAHLTERMINE(I27:I30)</f>
        <v>0</v>
      </c>
      <c r="J31" s="26" cm="1">
        <f t="array" ref="J31">ANZAHLTERMINE(J27:J30)</f>
        <v>0</v>
      </c>
      <c r="L31" s="28" t="s">
        <v>96</v>
      </c>
      <c r="M31" s="30">
        <f>IF(M30=0,"",M27/M30)</f>
        <v>1.2</v>
      </c>
      <c r="P31" s="18"/>
    </row>
    <row r="32" spans="3:16" s="17" customFormat="1" ht="15" customHeight="1" x14ac:dyDescent="0.25">
      <c r="D32" s="18"/>
      <c r="E32" s="18"/>
      <c r="F32" s="18"/>
      <c r="G32" s="18"/>
      <c r="H32" s="18"/>
      <c r="I32" s="18"/>
      <c r="J32" s="18"/>
      <c r="P32" s="18"/>
    </row>
    <row r="33" spans="1:18" s="17" customFormat="1" ht="15" customHeight="1" x14ac:dyDescent="0.25">
      <c r="D33" s="18"/>
      <c r="E33" s="18"/>
      <c r="F33" s="18"/>
      <c r="G33" s="18"/>
      <c r="H33" s="18"/>
      <c r="I33" s="18"/>
      <c r="J33" s="18"/>
      <c r="M33" s="22"/>
      <c r="P33" s="18"/>
    </row>
    <row r="34" spans="1:18" s="17" customFormat="1" ht="15" customHeight="1" x14ac:dyDescent="0.25">
      <c r="D34" s="18"/>
      <c r="E34" s="18"/>
      <c r="F34" s="18"/>
      <c r="G34" s="18"/>
      <c r="H34" s="18"/>
      <c r="I34" s="18"/>
      <c r="J34" s="18"/>
      <c r="M34" s="22"/>
      <c r="P34" s="18"/>
    </row>
    <row r="35" spans="1:18" s="17" customFormat="1" x14ac:dyDescent="0.25">
      <c r="A35" s="14"/>
      <c r="B35" s="14"/>
      <c r="C35" s="14"/>
      <c r="D35" s="15"/>
      <c r="E35" s="15"/>
      <c r="F35" s="15"/>
      <c r="G35" s="15"/>
      <c r="H35" s="15"/>
      <c r="I35" s="15"/>
      <c r="J35" s="15"/>
      <c r="K35" s="18"/>
      <c r="M35" s="22"/>
      <c r="P35" s="18"/>
    </row>
    <row r="36" spans="1:18" s="17" customFormat="1" x14ac:dyDescent="0.25">
      <c r="A36" s="14"/>
      <c r="B36" s="14"/>
      <c r="C36" s="14"/>
      <c r="D36" s="15"/>
      <c r="E36" s="15"/>
      <c r="F36" s="15"/>
      <c r="G36" s="15"/>
      <c r="H36" s="15"/>
      <c r="I36" s="15"/>
      <c r="J36" s="15"/>
      <c r="L36" s="14"/>
      <c r="M36" s="21"/>
      <c r="N36" s="14"/>
      <c r="O36" s="14"/>
      <c r="P36" s="15"/>
      <c r="Q36" s="14"/>
    </row>
    <row r="37" spans="1:18" s="17" customFormat="1" x14ac:dyDescent="0.25">
      <c r="A37" s="14"/>
      <c r="B37" s="14"/>
      <c r="C37" s="14"/>
      <c r="D37" s="15"/>
      <c r="E37" s="15"/>
      <c r="F37" s="15"/>
      <c r="G37" s="15"/>
      <c r="H37" s="15"/>
      <c r="I37" s="15"/>
      <c r="J37" s="15"/>
      <c r="L37" s="14"/>
      <c r="M37" s="21"/>
      <c r="N37" s="14"/>
      <c r="O37" s="14"/>
      <c r="P37" s="15"/>
      <c r="Q37" s="14"/>
    </row>
    <row r="38" spans="1:18" s="17" customFormat="1" x14ac:dyDescent="0.25">
      <c r="A38" s="14"/>
      <c r="B38" s="14"/>
      <c r="C38" s="14"/>
      <c r="D38" s="15"/>
      <c r="E38" s="15"/>
      <c r="F38" s="15"/>
      <c r="G38" s="15"/>
      <c r="H38" s="15"/>
      <c r="I38" s="15"/>
      <c r="J38" s="15"/>
      <c r="L38" s="14"/>
      <c r="M38" s="21"/>
      <c r="N38" s="14"/>
      <c r="O38" s="14"/>
      <c r="P38" s="15"/>
      <c r="Q38" s="14"/>
      <c r="R38" s="14"/>
    </row>
    <row r="39" spans="1:18" x14ac:dyDescent="0.25">
      <c r="D39" s="15"/>
      <c r="E39" s="15"/>
    </row>
    <row r="40" spans="1:18" x14ac:dyDescent="0.25">
      <c r="D40" s="15"/>
      <c r="E40" s="15"/>
    </row>
    <row r="41" spans="1:18" x14ac:dyDescent="0.25">
      <c r="D41" s="15"/>
      <c r="E41" s="15"/>
    </row>
    <row r="42" spans="1:18" x14ac:dyDescent="0.25">
      <c r="D42" s="15"/>
      <c r="E42" s="15"/>
    </row>
    <row r="43" spans="1:18" x14ac:dyDescent="0.25">
      <c r="D43" s="15"/>
      <c r="E43" s="15"/>
    </row>
    <row r="44" spans="1:18" x14ac:dyDescent="0.25">
      <c r="D44" s="15"/>
      <c r="E44" s="15"/>
    </row>
    <row r="45" spans="1:18" x14ac:dyDescent="0.25">
      <c r="D45" s="15"/>
      <c r="E45" s="15"/>
    </row>
    <row r="46" spans="1:18" x14ac:dyDescent="0.25">
      <c r="D46" s="15"/>
      <c r="E46" s="15"/>
    </row>
    <row r="47" spans="1:18" x14ac:dyDescent="0.25">
      <c r="D47" s="15"/>
      <c r="E47" s="15"/>
    </row>
    <row r="48" spans="1:18" x14ac:dyDescent="0.25">
      <c r="D48" s="15"/>
      <c r="E48" s="15"/>
    </row>
    <row r="49" spans="4:5" x14ac:dyDescent="0.25">
      <c r="D49" s="15"/>
      <c r="E49" s="15"/>
    </row>
    <row r="50" spans="4:5" x14ac:dyDescent="0.25">
      <c r="D50" s="15"/>
      <c r="E50" s="15"/>
    </row>
  </sheetData>
  <conditionalFormatting sqref="B5:B10">
    <cfRule type="expression" dxfId="14" priority="114">
      <formula>$C$6=WEEKNUM(TODAY(), 2)</formula>
    </cfRule>
  </conditionalFormatting>
  <conditionalFormatting sqref="B12:B17">
    <cfRule type="expression" dxfId="13" priority="117">
      <formula>$C$13=WEEKNUM(TODAY(), 2)</formula>
    </cfRule>
  </conditionalFormatting>
  <conditionalFormatting sqref="B19:B24">
    <cfRule type="expression" dxfId="12" priority="118">
      <formula>$C$20=WEEKNUM(TODAY(), 2)</formula>
    </cfRule>
  </conditionalFormatting>
  <conditionalFormatting sqref="D6:J9 D13:J16 D20:J23 D27:J30 D3:J3">
    <cfRule type="beginsWith" dxfId="11" priority="6" operator="beginsWith" text="Feiertag">
      <formula>LEFT(D3,LEN("Feiertag"))="Feiertag"</formula>
    </cfRule>
    <cfRule type="beginsWith" dxfId="10" priority="8" operator="beginsWith" text="Urlaub">
      <formula>LEFT(D3,LEN("Urlaub"))="Urlaub"</formula>
    </cfRule>
    <cfRule type="beginsWith" dxfId="9" priority="11" operator="beginsWith" text="Alt">
      <formula>LEFT(D3,LEN("Alt"))="Alt"</formula>
    </cfRule>
    <cfRule type="beginsWith" dxfId="8" priority="111" operator="beginsWith" text="Neu">
      <formula>LEFT(D3,LEN("Neu"))="Neu"</formula>
    </cfRule>
    <cfRule type="beginsWith" dxfId="7" priority="112" operator="beginsWith" text="Eigentermin">
      <formula>LEFT(D3,LEN("Eigentermin"))="Eigentermin"</formula>
    </cfRule>
    <cfRule type="beginsWith" dxfId="6" priority="113" operator="beginsWith" text="Bestand">
      <formula>LEFT(D3,LEN("Bestand"))="Bestand"</formula>
    </cfRule>
  </conditionalFormatting>
  <conditionalFormatting sqref="B26:B31">
    <cfRule type="expression" dxfId="5" priority="119">
      <formula>$C$27=WEEKNUM(TODAY(), 2)</formula>
    </cfRule>
  </conditionalFormatting>
  <conditionalFormatting sqref="D12:J12">
    <cfRule type="expression" dxfId="4" priority="3">
      <formula>D$12 = TODAY()</formula>
    </cfRule>
  </conditionalFormatting>
  <conditionalFormatting sqref="D5:J5">
    <cfRule type="expression" dxfId="3" priority="2">
      <formula>D$5 = TODAY()</formula>
    </cfRule>
  </conditionalFormatting>
  <conditionalFormatting sqref="D19:J19">
    <cfRule type="expression" dxfId="2" priority="4">
      <formula>D$19 = TODAY()</formula>
    </cfRule>
  </conditionalFormatting>
  <conditionalFormatting sqref="D26:J26">
    <cfRule type="expression" dxfId="1" priority="5">
      <formula>D$26 = TODAY()</formula>
    </cfRule>
  </conditionalFormatting>
  <conditionalFormatting sqref="P6:P8 P13:P15 P27:P29 P20:P22">
    <cfRule type="cellIs" dxfId="0" priority="1" operator="notEqual">
      <formula>0</formula>
    </cfRule>
  </conditionalFormatting>
  <dataValidations count="1">
    <dataValidation type="list" allowBlank="1" showInputMessage="1" showErrorMessage="1" sqref="L3" xr:uid="{21A58767-9DA5-49D9-BC8B-BB25048DB2E8}">
      <formula1>VBNames</formula1>
    </dataValidation>
  </dataValidations>
  <pageMargins left="0.25" right="0.25" top="0.75" bottom="0.75" header="0.3" footer="0.3"/>
  <pageSetup paperSize="9" scale="82" orientation="landscape"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13B01-075E-4B6F-BEC3-69FAB04E98A8}">
  <sheetPr codeName="shTerminliste"/>
  <dimension ref="B1:L48"/>
  <sheetViews>
    <sheetView showGridLines="0" workbookViewId="0">
      <pane ySplit="2" topLeftCell="A12" activePane="bottomLeft" state="frozen"/>
      <selection pane="bottomLeft" activeCell="H8" sqref="H8"/>
    </sheetView>
  </sheetViews>
  <sheetFormatPr baseColWidth="10" defaultRowHeight="15" x14ac:dyDescent="0.25"/>
  <cols>
    <col min="1" max="1" width="1.625" style="1" customWidth="1"/>
    <col min="2" max="2" width="14.5" style="1" customWidth="1"/>
    <col min="3" max="3" width="18.125" style="1" customWidth="1"/>
    <col min="4" max="4" width="12.875" style="1" customWidth="1"/>
    <col min="5" max="5" width="10.875" style="1" customWidth="1"/>
    <col min="6" max="6" width="7.75" style="1" customWidth="1"/>
    <col min="7" max="7" width="13.5" style="1" customWidth="1"/>
    <col min="8" max="8" width="30.25" style="1" customWidth="1"/>
    <col min="9" max="9" width="7.5" style="1" customWidth="1"/>
    <col min="10" max="10" width="14.5" style="1" customWidth="1"/>
    <col min="11" max="11" width="20.125" style="1" bestFit="1" customWidth="1"/>
    <col min="12" max="12" width="21.375" style="1" bestFit="1" customWidth="1"/>
    <col min="13" max="16384" width="11" style="1"/>
  </cols>
  <sheetData>
    <row r="1" spans="2:12" s="51" customFormat="1" ht="76.5" customHeight="1" x14ac:dyDescent="0.25">
      <c r="B1" s="50" t="s">
        <v>80</v>
      </c>
    </row>
    <row r="2" spans="2:12" s="60" customFormat="1" ht="30" customHeight="1" x14ac:dyDescent="0.25">
      <c r="B2" s="60" t="s">
        <v>7</v>
      </c>
      <c r="C2" s="60" t="s">
        <v>0</v>
      </c>
      <c r="D2" s="60" t="s">
        <v>81</v>
      </c>
      <c r="E2" s="60" t="s">
        <v>82</v>
      </c>
      <c r="F2" s="60" t="s">
        <v>84</v>
      </c>
      <c r="G2" s="60" t="s">
        <v>83</v>
      </c>
      <c r="H2" s="60" t="s">
        <v>89</v>
      </c>
      <c r="I2" s="60" t="s">
        <v>9</v>
      </c>
      <c r="L2" s="5"/>
    </row>
    <row r="3" spans="2:12" hidden="1" x14ac:dyDescent="0.25">
      <c r="B3" s="61">
        <v>46122</v>
      </c>
      <c r="C3" s="62" t="s">
        <v>3</v>
      </c>
      <c r="D3" s="62" t="s">
        <v>17</v>
      </c>
      <c r="E3" s="65"/>
      <c r="F3" s="64" cm="1">
        <f t="array" ref="F3">TerminArtId(tblTermine[[#This Row],[Terminart]], tblTermine[[#This Row],[Agent]])</f>
        <v>12</v>
      </c>
      <c r="G3" s="63" t="str" cm="1">
        <f t="array" ref="G3">TerminArtDisplay(tblTermine[[#This Row],[Terminart]], tblTermine[[#This Row],[Agent]])</f>
        <v>Bestand</v>
      </c>
      <c r="H3" s="63" t="str" cm="1">
        <f t="array" ref="H3">MakeSearchTerm(tblTermine[[#This Row],[Mitarbeiter]], tblTermine[[#This Row],[Datum]])</f>
        <v>Plottek, André - 26-04-10</v>
      </c>
      <c r="I3" s="63">
        <f>YEAR(tblTermine[[#This Row],[Datum]])</f>
        <v>2026</v>
      </c>
    </row>
    <row r="4" spans="2:12" hidden="1" x14ac:dyDescent="0.25">
      <c r="B4" s="61">
        <v>46125</v>
      </c>
      <c r="C4" s="62" t="s">
        <v>3</v>
      </c>
      <c r="D4" s="62" t="s">
        <v>16</v>
      </c>
      <c r="E4" s="65" t="s">
        <v>85</v>
      </c>
      <c r="F4" s="64" cm="1">
        <f t="array" ref="F4">TerminArtId(tblTermine[[#This Row],[Terminart]], tblTermine[[#This Row],[Agent]])</f>
        <v>21</v>
      </c>
      <c r="G4" s="63" t="str" cm="1">
        <f t="array" ref="G4">TerminArtDisplay(tblTermine[[#This Row],[Terminart]], tblTermine[[#This Row],[Agent]])</f>
        <v>Neu (IE)</v>
      </c>
      <c r="H4" s="63" t="str" cm="1">
        <f t="array" ref="H4">MakeSearchTerm(tblTermine[[#This Row],[Mitarbeiter]], tblTermine[[#This Row],[Datum]])</f>
        <v>Plottek, André - 26-04-13</v>
      </c>
      <c r="I4" s="63">
        <f>YEAR(tblTermine[[#This Row],[Datum]])</f>
        <v>2026</v>
      </c>
    </row>
    <row r="5" spans="2:12" hidden="1" x14ac:dyDescent="0.25">
      <c r="B5" s="61">
        <v>46126</v>
      </c>
      <c r="C5" s="62" t="s">
        <v>3</v>
      </c>
      <c r="D5" s="62" t="s">
        <v>16</v>
      </c>
      <c r="E5" s="65" t="s">
        <v>86</v>
      </c>
      <c r="F5" s="64" cm="1">
        <f t="array" ref="F5">TerminArtId(tblTermine[[#This Row],[Terminart]], tblTermine[[#This Row],[Agent]])</f>
        <v>21</v>
      </c>
      <c r="G5" s="63" t="str" cm="1">
        <f t="array" ref="G5">TerminArtDisplay(tblTermine[[#This Row],[Terminart]], tblTermine[[#This Row],[Agent]])</f>
        <v>Neu (AP)</v>
      </c>
      <c r="H5" s="63" t="str" cm="1">
        <f t="array" ref="H5">MakeSearchTerm(tblTermine[[#This Row],[Mitarbeiter]], tblTermine[[#This Row],[Datum]])</f>
        <v>Plottek, André - 26-04-14</v>
      </c>
      <c r="I5" s="63">
        <f>YEAR(tblTermine[[#This Row],[Datum]])</f>
        <v>2026</v>
      </c>
    </row>
    <row r="6" spans="2:12" hidden="1" x14ac:dyDescent="0.25">
      <c r="B6" s="61">
        <v>46126</v>
      </c>
      <c r="C6" s="62" t="s">
        <v>3</v>
      </c>
      <c r="D6" s="62" t="s">
        <v>18</v>
      </c>
      <c r="E6" s="65"/>
      <c r="F6" s="64" cm="1">
        <f t="array" ref="F6">TerminArtId(tblTermine[[#This Row],[Terminart]], tblTermine[[#This Row],[Agent]])</f>
        <v>13</v>
      </c>
      <c r="G6" s="63" t="str" cm="1">
        <f t="array" ref="G6">TerminArtDisplay(tblTermine[[#This Row],[Terminart]], tblTermine[[#This Row],[Agent]])</f>
        <v>Alt-KB</v>
      </c>
      <c r="H6" s="63" t="str" cm="1">
        <f t="array" ref="H6">MakeSearchTerm(tblTermine[[#This Row],[Mitarbeiter]], tblTermine[[#This Row],[Datum]])</f>
        <v>Plottek, André - 26-04-14</v>
      </c>
      <c r="I6" s="63">
        <f>YEAR(tblTermine[[#This Row],[Datum]])</f>
        <v>2026</v>
      </c>
      <c r="K6"/>
      <c r="L6"/>
    </row>
    <row r="7" spans="2:12" hidden="1" x14ac:dyDescent="0.25">
      <c r="B7" s="61">
        <v>46127</v>
      </c>
      <c r="C7" s="62" t="s">
        <v>3</v>
      </c>
      <c r="D7" s="62" t="s">
        <v>18</v>
      </c>
      <c r="E7" s="65"/>
      <c r="F7" s="64" cm="1">
        <f t="array" ref="F7">TerminArtId(tblTermine[[#This Row],[Terminart]], tblTermine[[#This Row],[Agent]])</f>
        <v>13</v>
      </c>
      <c r="G7" s="63" t="str" cm="1">
        <f t="array" ref="G7">TerminArtDisplay(tblTermine[[#This Row],[Terminart]], tblTermine[[#This Row],[Agent]])</f>
        <v>Alt-KB</v>
      </c>
      <c r="H7" s="63" t="str" cm="1">
        <f t="array" ref="H7">MakeSearchTerm(tblTermine[[#This Row],[Mitarbeiter]], tblTermine[[#This Row],[Datum]])</f>
        <v>Plottek, André - 26-04-15</v>
      </c>
      <c r="I7" s="63">
        <f>YEAR(tblTermine[[#This Row],[Datum]])</f>
        <v>2026</v>
      </c>
      <c r="K7"/>
      <c r="L7"/>
    </row>
    <row r="8" spans="2:12" hidden="1" x14ac:dyDescent="0.25">
      <c r="B8" s="61">
        <v>46127</v>
      </c>
      <c r="C8" s="62" t="s">
        <v>3</v>
      </c>
      <c r="D8" s="62" t="s">
        <v>17</v>
      </c>
      <c r="E8" s="65"/>
      <c r="F8" s="64" cm="1">
        <f t="array" ref="F8">TerminArtId(tblTermine[[#This Row],[Terminart]], tblTermine[[#This Row],[Agent]])</f>
        <v>12</v>
      </c>
      <c r="G8" s="63" t="str" cm="1">
        <f t="array" ref="G8">TerminArtDisplay(tblTermine[[#This Row],[Terminart]], tblTermine[[#This Row],[Agent]])</f>
        <v>Bestand</v>
      </c>
      <c r="H8" s="63" t="str" cm="1">
        <f t="array" ref="H8">MakeSearchTerm(tblTermine[[#This Row],[Mitarbeiter]], tblTermine[[#This Row],[Datum]])</f>
        <v>Plottek, André - 26-04-15</v>
      </c>
      <c r="I8" s="63">
        <f>YEAR(tblTermine[[#This Row],[Datum]])</f>
        <v>2026</v>
      </c>
      <c r="K8"/>
      <c r="L8"/>
    </row>
    <row r="9" spans="2:12" hidden="1" x14ac:dyDescent="0.25">
      <c r="B9" s="61">
        <v>46125</v>
      </c>
      <c r="C9" s="62" t="s">
        <v>1</v>
      </c>
      <c r="D9" s="62" t="s">
        <v>16</v>
      </c>
      <c r="E9" s="65" t="s">
        <v>86</v>
      </c>
      <c r="F9" s="64" cm="1">
        <f t="array" ref="F9">TerminArtId(tblTermine[[#This Row],[Terminart]], tblTermine[[#This Row],[Agent]])</f>
        <v>21</v>
      </c>
      <c r="G9" s="63" t="str" cm="1">
        <f t="array" ref="G9">TerminArtDisplay(tblTermine[[#This Row],[Terminart]], tblTermine[[#This Row],[Agent]])</f>
        <v>Neu (AP)</v>
      </c>
      <c r="H9" s="63" t="str" cm="1">
        <f t="array" ref="H9">MakeSearchTerm(tblTermine[[#This Row],[Mitarbeiter]], tblTermine[[#This Row],[Datum]])</f>
        <v>Lehrmann, Marcel - 26-04-13</v>
      </c>
      <c r="I9" s="63">
        <f>YEAR(tblTermine[[#This Row],[Datum]])</f>
        <v>2026</v>
      </c>
      <c r="K9"/>
      <c r="L9"/>
    </row>
    <row r="10" spans="2:12" hidden="1" x14ac:dyDescent="0.25">
      <c r="B10" s="61">
        <v>46126</v>
      </c>
      <c r="C10" s="62" t="s">
        <v>1</v>
      </c>
      <c r="D10" s="62" t="s">
        <v>17</v>
      </c>
      <c r="E10" s="65" t="s">
        <v>85</v>
      </c>
      <c r="F10" s="64" cm="1">
        <f t="array" ref="F10">TerminArtId(tblTermine[[#This Row],[Terminart]], tblTermine[[#This Row],[Agent]])</f>
        <v>22</v>
      </c>
      <c r="G10" s="63" t="str" cm="1">
        <f t="array" ref="G10">TerminArtDisplay(tblTermine[[#This Row],[Terminart]], tblTermine[[#This Row],[Agent]])</f>
        <v>Bestand (IE)</v>
      </c>
      <c r="H10" s="63" t="str" cm="1">
        <f t="array" ref="H10">MakeSearchTerm(tblTermine[[#This Row],[Mitarbeiter]], tblTermine[[#This Row],[Datum]])</f>
        <v>Lehrmann, Marcel - 26-04-14</v>
      </c>
      <c r="I10" s="63">
        <f>YEAR(tblTermine[[#This Row],[Datum]])</f>
        <v>2026</v>
      </c>
      <c r="K10"/>
      <c r="L10"/>
    </row>
    <row r="11" spans="2:12" hidden="1" x14ac:dyDescent="0.25">
      <c r="B11" s="61">
        <v>46128</v>
      </c>
      <c r="C11" s="62" t="s">
        <v>3</v>
      </c>
      <c r="D11" s="62" t="s">
        <v>18</v>
      </c>
      <c r="E11" s="65" t="s">
        <v>87</v>
      </c>
      <c r="F11" s="64" cm="1">
        <f t="array" ref="F11">TerminArtId(tblTermine[[#This Row],[Terminart]], tblTermine[[#This Row],[Agent]])</f>
        <v>23</v>
      </c>
      <c r="G11" s="63" t="str" cm="1">
        <f t="array" ref="G11">TerminArtDisplay(tblTermine[[#This Row],[Terminart]], tblTermine[[#This Row],[Agent]])</f>
        <v>Alt-KB (ZZ)</v>
      </c>
      <c r="H11" s="63" t="str" cm="1">
        <f t="array" ref="H11">MakeSearchTerm(tblTermine[[#This Row],[Mitarbeiter]], tblTermine[[#This Row],[Datum]])</f>
        <v>Plottek, André - 26-04-16</v>
      </c>
      <c r="I11" s="63">
        <f>YEAR(tblTermine[[#This Row],[Datum]])</f>
        <v>2026</v>
      </c>
      <c r="K11"/>
      <c r="L11"/>
    </row>
    <row r="12" spans="2:12" x14ac:dyDescent="0.25">
      <c r="B12" s="61">
        <v>46128</v>
      </c>
      <c r="C12" s="62" t="s">
        <v>3</v>
      </c>
      <c r="D12" s="62" t="s">
        <v>16</v>
      </c>
      <c r="E12" s="65"/>
      <c r="F12" s="64" cm="1">
        <f t="array" ref="F12">TerminArtId(tblTermine[[#This Row],[Terminart]], tblTermine[[#This Row],[Agent]])</f>
        <v>11</v>
      </c>
      <c r="G12" s="63" t="str" cm="1">
        <f t="array" ref="G12">TerminArtDisplay(tblTermine[[#This Row],[Terminart]], tblTermine[[#This Row],[Agent]])</f>
        <v>Eigentermin</v>
      </c>
      <c r="H12" s="63" t="str" cm="1">
        <f t="array" ref="H12">MakeSearchTerm(tblTermine[[#This Row],[Mitarbeiter]], tblTermine[[#This Row],[Datum]])</f>
        <v>Plottek, André - 26-04-16</v>
      </c>
      <c r="I12" s="63">
        <f>YEAR(tblTermine[[#This Row],[Datum]])</f>
        <v>2026</v>
      </c>
      <c r="K12"/>
      <c r="L12"/>
    </row>
    <row r="13" spans="2:12" hidden="1" x14ac:dyDescent="0.25">
      <c r="B13" s="61">
        <v>46127</v>
      </c>
      <c r="C13" s="62" t="s">
        <v>1</v>
      </c>
      <c r="D13" s="62" t="s">
        <v>16</v>
      </c>
      <c r="E13" s="65" t="s">
        <v>87</v>
      </c>
      <c r="F13" s="64" cm="1">
        <f t="array" ref="F13">TerminArtId(tblTermine[[#This Row],[Terminart]], tblTermine[[#This Row],[Agent]])</f>
        <v>21</v>
      </c>
      <c r="G13" s="63" t="str" cm="1">
        <f t="array" ref="G13">TerminArtDisplay(tblTermine[[#This Row],[Terminart]], tblTermine[[#This Row],[Agent]])</f>
        <v>Neu (ZZ)</v>
      </c>
      <c r="H13" s="63" t="str" cm="1">
        <f t="array" ref="H13">MakeSearchTerm(tblTermine[[#This Row],[Mitarbeiter]], tblTermine[[#This Row],[Datum]])</f>
        <v>Lehrmann, Marcel - 26-04-15</v>
      </c>
      <c r="I13" s="63">
        <f>YEAR(tblTermine[[#This Row],[Datum]])</f>
        <v>2026</v>
      </c>
      <c r="K13"/>
      <c r="L13"/>
    </row>
    <row r="14" spans="2:12" hidden="1" x14ac:dyDescent="0.25">
      <c r="B14" s="61">
        <v>46129</v>
      </c>
      <c r="C14" s="62" t="s">
        <v>3</v>
      </c>
      <c r="D14" s="62" t="s">
        <v>17</v>
      </c>
      <c r="E14" s="65" t="s">
        <v>85</v>
      </c>
      <c r="F14" s="64" cm="1">
        <f t="array" ref="F14">TerminArtId(tblTermine[[#This Row],[Terminart]], tblTermine[[#This Row],[Agent]])</f>
        <v>22</v>
      </c>
      <c r="G14" s="63" t="str" cm="1">
        <f t="array" ref="G14">TerminArtDisplay(tblTermine[[#This Row],[Terminart]], tblTermine[[#This Row],[Agent]])</f>
        <v>Bestand (IE)</v>
      </c>
      <c r="H14" s="63" t="str" cm="1">
        <f t="array" ref="H14">MakeSearchTerm(tblTermine[[#This Row],[Mitarbeiter]], tblTermine[[#This Row],[Datum]])</f>
        <v>Plottek, André - 26-04-17</v>
      </c>
      <c r="I14" s="63">
        <f>YEAR(tblTermine[[#This Row],[Datum]])</f>
        <v>2026</v>
      </c>
      <c r="K14"/>
      <c r="L14"/>
    </row>
    <row r="15" spans="2:12" x14ac:dyDescent="0.25">
      <c r="B15" s="61">
        <v>46128</v>
      </c>
      <c r="C15" s="62" t="s">
        <v>1</v>
      </c>
      <c r="D15" s="62" t="s">
        <v>16</v>
      </c>
      <c r="E15" s="65"/>
      <c r="F15" s="64" cm="1">
        <f t="array" ref="F15">TerminArtId(tblTermine[[#This Row],[Terminart]], tblTermine[[#This Row],[Agent]])</f>
        <v>11</v>
      </c>
      <c r="G15" s="63" t="str" cm="1">
        <f t="array" ref="G15">TerminArtDisplay(tblTermine[[#This Row],[Terminart]], tblTermine[[#This Row],[Agent]])</f>
        <v>Eigentermin</v>
      </c>
      <c r="H15" s="63" t="str" cm="1">
        <f t="array" ref="H15">MakeSearchTerm(tblTermine[[#This Row],[Mitarbeiter]], tblTermine[[#This Row],[Datum]])</f>
        <v>Lehrmann, Marcel - 26-04-16</v>
      </c>
      <c r="I15" s="63">
        <f>YEAR(tblTermine[[#This Row],[Datum]])</f>
        <v>2026</v>
      </c>
      <c r="K15"/>
      <c r="L15"/>
    </row>
    <row r="16" spans="2:12" hidden="1" x14ac:dyDescent="0.25">
      <c r="B16" s="61">
        <v>46128</v>
      </c>
      <c r="C16" s="62" t="s">
        <v>1</v>
      </c>
      <c r="D16" s="62" t="s">
        <v>17</v>
      </c>
      <c r="E16" s="65"/>
      <c r="F16" s="64" cm="1">
        <f t="array" ref="F16">TerminArtId(tblTermine[[#This Row],[Terminart]], tblTermine[[#This Row],[Agent]])</f>
        <v>12</v>
      </c>
      <c r="G16" s="63" t="str" cm="1">
        <f t="array" ref="G16">TerminArtDisplay(tblTermine[[#This Row],[Terminart]], tblTermine[[#This Row],[Agent]])</f>
        <v>Bestand</v>
      </c>
      <c r="H16" s="63" t="str" cm="1">
        <f t="array" ref="H16">MakeSearchTerm(tblTermine[[#This Row],[Mitarbeiter]], tblTermine[[#This Row],[Datum]])</f>
        <v>Lehrmann, Marcel - 26-04-16</v>
      </c>
      <c r="I16" s="63">
        <f>YEAR(tblTermine[[#This Row],[Datum]])</f>
        <v>2026</v>
      </c>
      <c r="K16"/>
      <c r="L16"/>
    </row>
    <row r="17" spans="2:12" hidden="1" x14ac:dyDescent="0.25">
      <c r="B17" s="61">
        <v>46129</v>
      </c>
      <c r="C17" s="62" t="s">
        <v>1</v>
      </c>
      <c r="D17" s="62" t="s">
        <v>17</v>
      </c>
      <c r="E17" s="65"/>
      <c r="F17" s="64" cm="1">
        <f t="array" ref="F17">TerminArtId(tblTermine[[#This Row],[Terminart]], tblTermine[[#This Row],[Agent]])</f>
        <v>12</v>
      </c>
      <c r="G17" s="63" t="str" cm="1">
        <f t="array" ref="G17">TerminArtDisplay(tblTermine[[#This Row],[Terminart]], tblTermine[[#This Row],[Agent]])</f>
        <v>Bestand</v>
      </c>
      <c r="H17" s="63" t="str" cm="1">
        <f t="array" ref="H17">MakeSearchTerm(tblTermine[[#This Row],[Mitarbeiter]], tblTermine[[#This Row],[Datum]])</f>
        <v>Lehrmann, Marcel - 26-04-17</v>
      </c>
      <c r="I17" s="63">
        <f>YEAR(tblTermine[[#This Row],[Datum]])</f>
        <v>2026</v>
      </c>
      <c r="K17"/>
      <c r="L17"/>
    </row>
    <row r="18" spans="2:12" x14ac:dyDescent="0.25">
      <c r="B18" s="61">
        <v>46132</v>
      </c>
      <c r="C18" s="62" t="s">
        <v>1</v>
      </c>
      <c r="D18" s="62" t="s">
        <v>16</v>
      </c>
      <c r="E18" s="65"/>
      <c r="F18" s="64" cm="1">
        <f t="array" ref="F18">TerminArtId(tblTermine[[#This Row],[Terminart]], tblTermine[[#This Row],[Agent]])</f>
        <v>11</v>
      </c>
      <c r="G18" s="63" t="str" cm="1">
        <f t="array" ref="G18">TerminArtDisplay(tblTermine[[#This Row],[Terminart]], tblTermine[[#This Row],[Agent]])</f>
        <v>Eigentermin</v>
      </c>
      <c r="H18" s="63" t="str" cm="1">
        <f t="array" ref="H18">MakeSearchTerm(tblTermine[[#This Row],[Mitarbeiter]], tblTermine[[#This Row],[Datum]])</f>
        <v>Lehrmann, Marcel - 26-04-20</v>
      </c>
      <c r="I18" s="63">
        <f>YEAR(tblTermine[[#This Row],[Datum]])</f>
        <v>2026</v>
      </c>
      <c r="K18"/>
      <c r="L18"/>
    </row>
    <row r="19" spans="2:12" hidden="1" x14ac:dyDescent="0.25">
      <c r="B19" s="61">
        <v>46132</v>
      </c>
      <c r="C19" s="62" t="s">
        <v>1</v>
      </c>
      <c r="D19" s="62" t="s">
        <v>17</v>
      </c>
      <c r="E19" s="65"/>
      <c r="F19" s="64" cm="1">
        <f t="array" ref="F19">TerminArtId(tblTermine[[#This Row],[Terminart]], tblTermine[[#This Row],[Agent]])</f>
        <v>12</v>
      </c>
      <c r="G19" s="63" t="str" cm="1">
        <f t="array" ref="G19">TerminArtDisplay(tblTermine[[#This Row],[Terminart]], tblTermine[[#This Row],[Agent]])</f>
        <v>Bestand</v>
      </c>
      <c r="H19" s="63" t="str" cm="1">
        <f t="array" ref="H19">MakeSearchTerm(tblTermine[[#This Row],[Mitarbeiter]], tblTermine[[#This Row],[Datum]])</f>
        <v>Lehrmann, Marcel - 26-04-20</v>
      </c>
      <c r="I19" s="63">
        <f>YEAR(tblTermine[[#This Row],[Datum]])</f>
        <v>2026</v>
      </c>
      <c r="K19"/>
      <c r="L19"/>
    </row>
    <row r="20" spans="2:12" hidden="1" x14ac:dyDescent="0.25">
      <c r="B20" s="61">
        <v>46132</v>
      </c>
      <c r="C20" s="62" t="s">
        <v>3</v>
      </c>
      <c r="D20" s="62" t="s">
        <v>16</v>
      </c>
      <c r="E20" s="65" t="s">
        <v>87</v>
      </c>
      <c r="F20" s="64" cm="1">
        <f t="array" ref="F20">TerminArtId(tblTermine[[#This Row],[Terminart]], tblTermine[[#This Row],[Agent]])</f>
        <v>21</v>
      </c>
      <c r="G20" s="63" t="str" cm="1">
        <f t="array" ref="G20">TerminArtDisplay(tblTermine[[#This Row],[Terminart]], tblTermine[[#This Row],[Agent]])</f>
        <v>Neu (ZZ)</v>
      </c>
      <c r="H20" s="63" t="str" cm="1">
        <f t="array" ref="H20">MakeSearchTerm(tblTermine[[#This Row],[Mitarbeiter]], tblTermine[[#This Row],[Datum]])</f>
        <v>Plottek, André - 26-04-20</v>
      </c>
      <c r="I20" s="63">
        <f>YEAR(tblTermine[[#This Row],[Datum]])</f>
        <v>2026</v>
      </c>
      <c r="K20"/>
      <c r="L20"/>
    </row>
    <row r="21" spans="2:12" x14ac:dyDescent="0.25">
      <c r="B21" s="61">
        <v>46132</v>
      </c>
      <c r="C21" s="62" t="s">
        <v>3</v>
      </c>
      <c r="D21" s="62" t="s">
        <v>16</v>
      </c>
      <c r="E21" s="65"/>
      <c r="F21" s="64" cm="1">
        <f t="array" ref="F21">TerminArtId(tblTermine[[#This Row],[Terminart]], tblTermine[[#This Row],[Agent]])</f>
        <v>11</v>
      </c>
      <c r="G21" s="63" t="str" cm="1">
        <f t="array" ref="G21">TerminArtDisplay(tblTermine[[#This Row],[Terminart]], tblTermine[[#This Row],[Agent]])</f>
        <v>Eigentermin</v>
      </c>
      <c r="H21" s="63" t="str" cm="1">
        <f t="array" ref="H21">MakeSearchTerm(tblTermine[[#This Row],[Mitarbeiter]], tblTermine[[#This Row],[Datum]])</f>
        <v>Plottek, André - 26-04-20</v>
      </c>
      <c r="I21" s="63">
        <f>YEAR(tblTermine[[#This Row],[Datum]])</f>
        <v>2026</v>
      </c>
      <c r="K21"/>
      <c r="L21"/>
    </row>
    <row r="22" spans="2:12" hidden="1" x14ac:dyDescent="0.25">
      <c r="B22" s="61">
        <v>46134</v>
      </c>
      <c r="C22" s="62" t="s">
        <v>1</v>
      </c>
      <c r="D22" s="62" t="s">
        <v>18</v>
      </c>
      <c r="E22" s="65"/>
      <c r="F22" s="64" cm="1">
        <f t="array" ref="F22">TerminArtId(tblTermine[[#This Row],[Terminart]], tblTermine[[#This Row],[Agent]])</f>
        <v>13</v>
      </c>
      <c r="G22" s="63" t="str" cm="1">
        <f t="array" ref="G22">TerminArtDisplay(tblTermine[[#This Row],[Terminart]], tblTermine[[#This Row],[Agent]])</f>
        <v>Alt-KB</v>
      </c>
      <c r="H22" s="63" t="str" cm="1">
        <f t="array" ref="H22">MakeSearchTerm(tblTermine[[#This Row],[Mitarbeiter]], tblTermine[[#This Row],[Datum]])</f>
        <v>Lehrmann, Marcel - 26-04-22</v>
      </c>
      <c r="I22" s="63">
        <f>YEAR(tblTermine[[#This Row],[Datum]])</f>
        <v>2026</v>
      </c>
      <c r="K22"/>
      <c r="L22"/>
    </row>
    <row r="23" spans="2:12" hidden="1" x14ac:dyDescent="0.25">
      <c r="B23" s="61">
        <v>46134</v>
      </c>
      <c r="C23" s="62" t="s">
        <v>1</v>
      </c>
      <c r="D23" s="62" t="s">
        <v>17</v>
      </c>
      <c r="E23" s="65" t="s">
        <v>85</v>
      </c>
      <c r="F23" s="64" cm="1">
        <f t="array" ref="F23">TerminArtId(tblTermine[[#This Row],[Terminart]], tblTermine[[#This Row],[Agent]])</f>
        <v>22</v>
      </c>
      <c r="G23" s="63" t="str" cm="1">
        <f t="array" ref="G23">TerminArtDisplay(tblTermine[[#This Row],[Terminart]], tblTermine[[#This Row],[Agent]])</f>
        <v>Bestand (IE)</v>
      </c>
      <c r="H23" s="63" t="str" cm="1">
        <f t="array" ref="H23">MakeSearchTerm(tblTermine[[#This Row],[Mitarbeiter]], tblTermine[[#This Row],[Datum]])</f>
        <v>Lehrmann, Marcel - 26-04-22</v>
      </c>
      <c r="I23" s="63">
        <f>YEAR(tblTermine[[#This Row],[Datum]])</f>
        <v>2026</v>
      </c>
      <c r="K23"/>
      <c r="L23"/>
    </row>
    <row r="24" spans="2:12" hidden="1" x14ac:dyDescent="0.25">
      <c r="B24" s="61">
        <v>46134</v>
      </c>
      <c r="C24" s="62" t="s">
        <v>3</v>
      </c>
      <c r="D24" s="62" t="s">
        <v>18</v>
      </c>
      <c r="E24" s="65" t="s">
        <v>86</v>
      </c>
      <c r="F24" s="64" cm="1">
        <f t="array" ref="F24">TerminArtId(tblTermine[[#This Row],[Terminart]], tblTermine[[#This Row],[Agent]])</f>
        <v>23</v>
      </c>
      <c r="G24" s="63" t="str" cm="1">
        <f t="array" ref="G24">TerminArtDisplay(tblTermine[[#This Row],[Terminart]], tblTermine[[#This Row],[Agent]])</f>
        <v>Alt-KB (AP)</v>
      </c>
      <c r="H24" s="63" t="str" cm="1">
        <f t="array" ref="H24">MakeSearchTerm(tblTermine[[#This Row],[Mitarbeiter]], tblTermine[[#This Row],[Datum]])</f>
        <v>Plottek, André - 26-04-22</v>
      </c>
      <c r="I24" s="63">
        <f>YEAR(tblTermine[[#This Row],[Datum]])</f>
        <v>2026</v>
      </c>
    </row>
    <row r="25" spans="2:12" hidden="1" x14ac:dyDescent="0.25">
      <c r="B25" s="61">
        <v>46134</v>
      </c>
      <c r="C25" s="62" t="s">
        <v>3</v>
      </c>
      <c r="D25" s="62" t="s">
        <v>17</v>
      </c>
      <c r="E25" s="65" t="s">
        <v>85</v>
      </c>
      <c r="F25" s="64" cm="1">
        <f t="array" ref="F25">TerminArtId(tblTermine[[#This Row],[Terminart]], tblTermine[[#This Row],[Agent]])</f>
        <v>22</v>
      </c>
      <c r="G25" s="63" t="str" cm="1">
        <f t="array" ref="G25">TerminArtDisplay(tblTermine[[#This Row],[Terminart]], tblTermine[[#This Row],[Agent]])</f>
        <v>Bestand (IE)</v>
      </c>
      <c r="H25" s="63" t="str" cm="1">
        <f t="array" ref="H25">MakeSearchTerm(tblTermine[[#This Row],[Mitarbeiter]], tblTermine[[#This Row],[Datum]])</f>
        <v>Plottek, André - 26-04-22</v>
      </c>
      <c r="I25" s="63">
        <f>YEAR(tblTermine[[#This Row],[Datum]])</f>
        <v>2026</v>
      </c>
    </row>
    <row r="26" spans="2:12" hidden="1" x14ac:dyDescent="0.25">
      <c r="B26" s="61">
        <v>46135</v>
      </c>
      <c r="C26" s="62" t="s">
        <v>1</v>
      </c>
      <c r="D26" s="62" t="s">
        <v>16</v>
      </c>
      <c r="E26" s="65" t="s">
        <v>86</v>
      </c>
      <c r="F26" s="64" cm="1">
        <f t="array" ref="F26">TerminArtId(tblTermine[[#This Row],[Terminart]], tblTermine[[#This Row],[Agent]])</f>
        <v>21</v>
      </c>
      <c r="G26" s="63" t="str" cm="1">
        <f t="array" ref="G26">TerminArtDisplay(tblTermine[[#This Row],[Terminart]], tblTermine[[#This Row],[Agent]])</f>
        <v>Neu (AP)</v>
      </c>
      <c r="H26" s="63" t="str" cm="1">
        <f t="array" ref="H26">MakeSearchTerm(tblTermine[[#This Row],[Mitarbeiter]], tblTermine[[#This Row],[Datum]])</f>
        <v>Lehrmann, Marcel - 26-04-23</v>
      </c>
      <c r="I26" s="63">
        <f>YEAR(tblTermine[[#This Row],[Datum]])</f>
        <v>2026</v>
      </c>
    </row>
    <row r="27" spans="2:12" hidden="1" x14ac:dyDescent="0.25">
      <c r="B27" s="61">
        <v>46135</v>
      </c>
      <c r="C27" s="62" t="s">
        <v>3</v>
      </c>
      <c r="D27" s="62" t="s">
        <v>17</v>
      </c>
      <c r="E27" s="65"/>
      <c r="F27" s="64" cm="1">
        <f t="array" ref="F27">TerminArtId(tblTermine[[#This Row],[Terminart]], tblTermine[[#This Row],[Agent]])</f>
        <v>12</v>
      </c>
      <c r="G27" s="63" t="str" cm="1">
        <f t="array" ref="G27">TerminArtDisplay(tblTermine[[#This Row],[Terminart]], tblTermine[[#This Row],[Agent]])</f>
        <v>Bestand</v>
      </c>
      <c r="H27" s="63" t="str" cm="1">
        <f t="array" ref="H27">MakeSearchTerm(tblTermine[[#This Row],[Mitarbeiter]], tblTermine[[#This Row],[Datum]])</f>
        <v>Plottek, André - 26-04-23</v>
      </c>
      <c r="I27" s="63">
        <f>YEAR(tblTermine[[#This Row],[Datum]])</f>
        <v>2026</v>
      </c>
    </row>
    <row r="28" spans="2:12" hidden="1" x14ac:dyDescent="0.25">
      <c r="B28" s="61">
        <v>46136</v>
      </c>
      <c r="C28" s="62" t="s">
        <v>1</v>
      </c>
      <c r="D28" s="62" t="s">
        <v>17</v>
      </c>
      <c r="E28" s="65" t="s">
        <v>85</v>
      </c>
      <c r="F28" s="64" cm="1">
        <f t="array" ref="F28">TerminArtId(tblTermine[[#This Row],[Terminart]], tblTermine[[#This Row],[Agent]])</f>
        <v>22</v>
      </c>
      <c r="G28" s="63" t="str" cm="1">
        <f t="array" ref="G28">TerminArtDisplay(tblTermine[[#This Row],[Terminart]], tblTermine[[#This Row],[Agent]])</f>
        <v>Bestand (IE)</v>
      </c>
      <c r="H28" s="63" t="str" cm="1">
        <f t="array" ref="H28">MakeSearchTerm(tblTermine[[#This Row],[Mitarbeiter]], tblTermine[[#This Row],[Datum]])</f>
        <v>Lehrmann, Marcel - 26-04-24</v>
      </c>
      <c r="I28" s="63">
        <f>YEAR(tblTermine[[#This Row],[Datum]])</f>
        <v>2026</v>
      </c>
    </row>
    <row r="29" spans="2:12" hidden="1" x14ac:dyDescent="0.25">
      <c r="B29" s="61">
        <v>46136</v>
      </c>
      <c r="C29" s="62" t="s">
        <v>3</v>
      </c>
      <c r="D29" s="62" t="s">
        <v>17</v>
      </c>
      <c r="E29" s="65"/>
      <c r="F29" s="64" cm="1">
        <f t="array" ref="F29">TerminArtId(tblTermine[[#This Row],[Terminart]], tblTermine[[#This Row],[Agent]])</f>
        <v>12</v>
      </c>
      <c r="G29" s="63" t="str" cm="1">
        <f t="array" ref="G29">TerminArtDisplay(tblTermine[[#This Row],[Terminart]], tblTermine[[#This Row],[Agent]])</f>
        <v>Bestand</v>
      </c>
      <c r="H29" s="63" t="str" cm="1">
        <f t="array" ref="H29">MakeSearchTerm(tblTermine[[#This Row],[Mitarbeiter]], tblTermine[[#This Row],[Datum]])</f>
        <v>Plottek, André - 26-04-24</v>
      </c>
      <c r="I29" s="63">
        <f>YEAR(tblTermine[[#This Row],[Datum]])</f>
        <v>2026</v>
      </c>
    </row>
    <row r="30" spans="2:12" hidden="1" x14ac:dyDescent="0.25">
      <c r="B30" s="61">
        <v>46139</v>
      </c>
      <c r="C30" s="62" t="s">
        <v>1</v>
      </c>
      <c r="D30" s="62" t="s">
        <v>18</v>
      </c>
      <c r="E30" s="65" t="s">
        <v>87</v>
      </c>
      <c r="F30" s="64" cm="1">
        <f t="array" ref="F30">TerminArtId(tblTermine[[#This Row],[Terminart]], tblTermine[[#This Row],[Agent]])</f>
        <v>23</v>
      </c>
      <c r="G30" s="63" t="str" cm="1">
        <f t="array" ref="G30">TerminArtDisplay(tblTermine[[#This Row],[Terminart]], tblTermine[[#This Row],[Agent]])</f>
        <v>Alt-KB (ZZ)</v>
      </c>
      <c r="H30" s="63" t="str" cm="1">
        <f t="array" ref="H30">MakeSearchTerm(tblTermine[[#This Row],[Mitarbeiter]], tblTermine[[#This Row],[Datum]])</f>
        <v>Lehrmann, Marcel - 26-04-27</v>
      </c>
      <c r="I30" s="63">
        <f>YEAR(tblTermine[[#This Row],[Datum]])</f>
        <v>2026</v>
      </c>
    </row>
    <row r="31" spans="2:12" x14ac:dyDescent="0.25">
      <c r="B31" s="61">
        <v>46139</v>
      </c>
      <c r="C31" s="62" t="s">
        <v>3</v>
      </c>
      <c r="D31" s="62" t="s">
        <v>16</v>
      </c>
      <c r="E31" s="65"/>
      <c r="F31" s="64" cm="1">
        <f t="array" ref="F31">TerminArtId(tblTermine[[#This Row],[Terminart]], tblTermine[[#This Row],[Agent]])</f>
        <v>11</v>
      </c>
      <c r="G31" s="63" t="str" cm="1">
        <f t="array" ref="G31">TerminArtDisplay(tblTermine[[#This Row],[Terminart]], tblTermine[[#This Row],[Agent]])</f>
        <v>Eigentermin</v>
      </c>
      <c r="H31" s="63" t="str" cm="1">
        <f t="array" ref="H31">MakeSearchTerm(tblTermine[[#This Row],[Mitarbeiter]], tblTermine[[#This Row],[Datum]])</f>
        <v>Plottek, André - 26-04-27</v>
      </c>
      <c r="I31" s="63">
        <f>YEAR(tblTermine[[#This Row],[Datum]])</f>
        <v>2026</v>
      </c>
    </row>
    <row r="32" spans="2:12" x14ac:dyDescent="0.25">
      <c r="B32" s="61">
        <v>46140</v>
      </c>
      <c r="C32" s="62" t="s">
        <v>1</v>
      </c>
      <c r="D32" s="62" t="s">
        <v>16</v>
      </c>
      <c r="E32" s="65"/>
      <c r="F32" s="64" cm="1">
        <f t="array" ref="F32">TerminArtId(tblTermine[[#This Row],[Terminart]], tblTermine[[#This Row],[Agent]])</f>
        <v>11</v>
      </c>
      <c r="G32" s="63" t="str" cm="1">
        <f t="array" ref="G32">TerminArtDisplay(tblTermine[[#This Row],[Terminart]], tblTermine[[#This Row],[Agent]])</f>
        <v>Eigentermin</v>
      </c>
      <c r="H32" s="63" t="str" cm="1">
        <f t="array" ref="H32">MakeSearchTerm(tblTermine[[#This Row],[Mitarbeiter]], tblTermine[[#This Row],[Datum]])</f>
        <v>Lehrmann, Marcel - 26-04-28</v>
      </c>
      <c r="I32" s="63">
        <f>YEAR(tblTermine[[#This Row],[Datum]])</f>
        <v>2026</v>
      </c>
    </row>
    <row r="33" spans="2:9" hidden="1" x14ac:dyDescent="0.25">
      <c r="B33" s="61">
        <v>46140</v>
      </c>
      <c r="C33" s="62" t="s">
        <v>1</v>
      </c>
      <c r="D33" s="62" t="s">
        <v>18</v>
      </c>
      <c r="E33" s="65"/>
      <c r="F33" s="64" cm="1">
        <f t="array" ref="F33">TerminArtId(tblTermine[[#This Row],[Terminart]], tblTermine[[#This Row],[Agent]])</f>
        <v>13</v>
      </c>
      <c r="G33" s="63" t="str" cm="1">
        <f t="array" ref="G33">TerminArtDisplay(tblTermine[[#This Row],[Terminart]], tblTermine[[#This Row],[Agent]])</f>
        <v>Alt-KB</v>
      </c>
      <c r="H33" s="63" t="str" cm="1">
        <f t="array" ref="H33">MakeSearchTerm(tblTermine[[#This Row],[Mitarbeiter]], tblTermine[[#This Row],[Datum]])</f>
        <v>Lehrmann, Marcel - 26-04-28</v>
      </c>
      <c r="I33" s="63">
        <f>YEAR(tblTermine[[#This Row],[Datum]])</f>
        <v>2026</v>
      </c>
    </row>
    <row r="34" spans="2:9" hidden="1" x14ac:dyDescent="0.25">
      <c r="B34" s="61">
        <v>46141</v>
      </c>
      <c r="C34" s="62" t="s">
        <v>3</v>
      </c>
      <c r="D34" s="62" t="s">
        <v>17</v>
      </c>
      <c r="E34" s="65" t="s">
        <v>85</v>
      </c>
      <c r="F34" s="64" cm="1">
        <f t="array" ref="F34">TerminArtId(tblTermine[[#This Row],[Terminart]], tblTermine[[#This Row],[Agent]])</f>
        <v>22</v>
      </c>
      <c r="G34" s="63" t="str" cm="1">
        <f t="array" ref="G34">TerminArtDisplay(tblTermine[[#This Row],[Terminart]], tblTermine[[#This Row],[Agent]])</f>
        <v>Bestand (IE)</v>
      </c>
      <c r="H34" s="63" t="str" cm="1">
        <f t="array" ref="H34">MakeSearchTerm(tblTermine[[#This Row],[Mitarbeiter]], tblTermine[[#This Row],[Datum]])</f>
        <v>Plottek, André - 26-04-29</v>
      </c>
      <c r="I34" s="63">
        <f>YEAR(tblTermine[[#This Row],[Datum]])</f>
        <v>2026</v>
      </c>
    </row>
    <row r="35" spans="2:9" hidden="1" x14ac:dyDescent="0.25">
      <c r="B35" s="61">
        <v>46141</v>
      </c>
      <c r="C35" s="62" t="s">
        <v>1</v>
      </c>
      <c r="D35" s="62" t="s">
        <v>17</v>
      </c>
      <c r="E35" s="65"/>
      <c r="F35" s="64" cm="1">
        <f t="array" ref="F35">TerminArtId(tblTermine[[#This Row],[Terminart]], tblTermine[[#This Row],[Agent]])</f>
        <v>12</v>
      </c>
      <c r="G35" s="63" t="str" cm="1">
        <f t="array" ref="G35">TerminArtDisplay(tblTermine[[#This Row],[Terminart]], tblTermine[[#This Row],[Agent]])</f>
        <v>Bestand</v>
      </c>
      <c r="H35" s="63" t="str" cm="1">
        <f t="array" ref="H35">MakeSearchTerm(tblTermine[[#This Row],[Mitarbeiter]], tblTermine[[#This Row],[Datum]])</f>
        <v>Lehrmann, Marcel - 26-04-29</v>
      </c>
      <c r="I35" s="63">
        <f>YEAR(tblTermine[[#This Row],[Datum]])</f>
        <v>2026</v>
      </c>
    </row>
    <row r="36" spans="2:9" hidden="1" x14ac:dyDescent="0.25">
      <c r="B36" s="61">
        <v>46142</v>
      </c>
      <c r="C36" s="62" t="s">
        <v>3</v>
      </c>
      <c r="D36" s="62" t="s">
        <v>16</v>
      </c>
      <c r="E36" s="65" t="s">
        <v>86</v>
      </c>
      <c r="F36" s="64" cm="1">
        <f t="array" ref="F36">TerminArtId(tblTermine[[#This Row],[Terminart]], tblTermine[[#This Row],[Agent]])</f>
        <v>21</v>
      </c>
      <c r="G36" s="63" t="str" cm="1">
        <f t="array" ref="G36">TerminArtDisplay(tblTermine[[#This Row],[Terminart]], tblTermine[[#This Row],[Agent]])</f>
        <v>Neu (AP)</v>
      </c>
      <c r="H36" s="63" t="str" cm="1">
        <f t="array" ref="H36">MakeSearchTerm(tblTermine[[#This Row],[Mitarbeiter]], tblTermine[[#This Row],[Datum]])</f>
        <v>Plottek, André - 26-04-30</v>
      </c>
      <c r="I36" s="63">
        <f>YEAR(tblTermine[[#This Row],[Datum]])</f>
        <v>2026</v>
      </c>
    </row>
    <row r="37" spans="2:9" hidden="1" x14ac:dyDescent="0.25">
      <c r="B37" s="61">
        <v>46142</v>
      </c>
      <c r="C37" s="62" t="s">
        <v>1</v>
      </c>
      <c r="D37" s="62" t="s">
        <v>18</v>
      </c>
      <c r="E37" s="65"/>
      <c r="F37" s="64" cm="1">
        <f t="array" ref="F37">TerminArtId(tblTermine[[#This Row],[Terminart]], tblTermine[[#This Row],[Agent]])</f>
        <v>13</v>
      </c>
      <c r="G37" s="63" t="str" cm="1">
        <f t="array" ref="G37">TerminArtDisplay(tblTermine[[#This Row],[Terminart]], tblTermine[[#This Row],[Agent]])</f>
        <v>Alt-KB</v>
      </c>
      <c r="H37" s="63" t="str" cm="1">
        <f t="array" ref="H37">MakeSearchTerm(tblTermine[[#This Row],[Mitarbeiter]], tblTermine[[#This Row],[Datum]])</f>
        <v>Lehrmann, Marcel - 26-04-30</v>
      </c>
      <c r="I37" s="63">
        <f>YEAR(tblTermine[[#This Row],[Datum]])</f>
        <v>2026</v>
      </c>
    </row>
    <row r="38" spans="2:9" hidden="1" x14ac:dyDescent="0.25">
      <c r="B38" s="61">
        <v>46153</v>
      </c>
      <c r="C38" s="62" t="s">
        <v>1</v>
      </c>
      <c r="D38" s="62" t="s">
        <v>18</v>
      </c>
      <c r="E38" s="65" t="s">
        <v>86</v>
      </c>
      <c r="F38" s="64" cm="1">
        <f t="array" ref="F38">TerminArtId(tblTermine[[#This Row],[Terminart]], tblTermine[[#This Row],[Agent]])</f>
        <v>23</v>
      </c>
      <c r="G38" s="63" t="str" cm="1">
        <f t="array" ref="G38">TerminArtDisplay(tblTermine[[#This Row],[Terminart]], tblTermine[[#This Row],[Agent]])</f>
        <v>Alt-KB (AP)</v>
      </c>
      <c r="H38" s="63" t="str" cm="1">
        <f t="array" ref="H38">MakeSearchTerm(tblTermine[[#This Row],[Mitarbeiter]], tblTermine[[#This Row],[Datum]])</f>
        <v>Lehrmann, Marcel - 26-05-11</v>
      </c>
      <c r="I38" s="63">
        <f>YEAR(tblTermine[[#This Row],[Datum]])</f>
        <v>2026</v>
      </c>
    </row>
    <row r="39" spans="2:9" hidden="1" x14ac:dyDescent="0.25">
      <c r="B39" s="61">
        <v>46146</v>
      </c>
      <c r="C39" s="62" t="s">
        <v>1</v>
      </c>
      <c r="D39" s="62" t="s">
        <v>91</v>
      </c>
      <c r="E39" s="65"/>
      <c r="F39" s="64" cm="1">
        <f t="array" ref="F39">TerminArtId(tblTermine[[#This Row],[Terminart]], tblTermine[[#This Row],[Agent]])</f>
        <v>31</v>
      </c>
      <c r="G39" s="63" t="str" cm="1">
        <f t="array" ref="G39">TerminArtDisplay(tblTermine[[#This Row],[Terminart]], tblTermine[[#This Row],[Agent]])</f>
        <v>Urlaub</v>
      </c>
      <c r="H39" s="63" t="str" cm="1">
        <f t="array" ref="H39">MakeSearchTerm(tblTermine[[#This Row],[Mitarbeiter]], tblTermine[[#This Row],[Datum]])</f>
        <v>Lehrmann, Marcel - 26-05-04</v>
      </c>
      <c r="I39" s="63">
        <f>YEAR(tblTermine[[#This Row],[Datum]])</f>
        <v>2026</v>
      </c>
    </row>
    <row r="40" spans="2:9" hidden="1" x14ac:dyDescent="0.25">
      <c r="B40" s="61">
        <v>46147</v>
      </c>
      <c r="C40" s="62" t="s">
        <v>1</v>
      </c>
      <c r="D40" s="62" t="s">
        <v>91</v>
      </c>
      <c r="E40" s="65"/>
      <c r="F40" s="64" cm="1">
        <f t="array" ref="F40">TerminArtId(tblTermine[[#This Row],[Terminart]], tblTermine[[#This Row],[Agent]])</f>
        <v>31</v>
      </c>
      <c r="G40" s="63" t="str" cm="1">
        <f t="array" ref="G40">TerminArtDisplay(tblTermine[[#This Row],[Terminart]], tblTermine[[#This Row],[Agent]])</f>
        <v>Urlaub</v>
      </c>
      <c r="H40" s="63" t="str" cm="1">
        <f t="array" ref="H40">MakeSearchTerm(tblTermine[[#This Row],[Mitarbeiter]], tblTermine[[#This Row],[Datum]])</f>
        <v>Lehrmann, Marcel - 26-05-05</v>
      </c>
      <c r="I40" s="63">
        <f>YEAR(tblTermine[[#This Row],[Datum]])</f>
        <v>2026</v>
      </c>
    </row>
    <row r="41" spans="2:9" hidden="1" x14ac:dyDescent="0.25">
      <c r="B41" s="61">
        <v>46139</v>
      </c>
      <c r="C41" s="62" t="s">
        <v>3</v>
      </c>
      <c r="D41" s="62" t="s">
        <v>16</v>
      </c>
      <c r="E41" s="65" t="s">
        <v>85</v>
      </c>
      <c r="F41" s="64" cm="1">
        <f t="array" ref="F41">TerminArtId(tblTermine[[#This Row],[Terminart]], tblTermine[[#This Row],[Agent]])</f>
        <v>21</v>
      </c>
      <c r="G41" s="63" t="str" cm="1">
        <f t="array" ref="G41">TerminArtDisplay(tblTermine[[#This Row],[Terminart]], tblTermine[[#This Row],[Agent]])</f>
        <v>Neu (IE)</v>
      </c>
      <c r="H41" s="63" t="str" cm="1">
        <f t="array" ref="H41">MakeSearchTerm(tblTermine[[#This Row],[Mitarbeiter]], tblTermine[[#This Row],[Datum]])</f>
        <v>Plottek, André - 26-04-27</v>
      </c>
      <c r="I41" s="63">
        <f>YEAR(tblTermine[[#This Row],[Datum]])</f>
        <v>2026</v>
      </c>
    </row>
    <row r="42" spans="2:9" hidden="1" x14ac:dyDescent="0.25">
      <c r="B42" s="61">
        <v>46140</v>
      </c>
      <c r="C42" s="62" t="s">
        <v>3</v>
      </c>
      <c r="D42" s="62" t="s">
        <v>91</v>
      </c>
      <c r="E42" s="65"/>
      <c r="F42" s="64" cm="1">
        <f t="array" ref="F42">TerminArtId(tblTermine[[#This Row],[Terminart]], tblTermine[[#This Row],[Agent]])</f>
        <v>31</v>
      </c>
      <c r="G42" s="63" t="str" cm="1">
        <f t="array" ref="G42">TerminArtDisplay(tblTermine[[#This Row],[Terminart]], tblTermine[[#This Row],[Agent]])</f>
        <v>Urlaub</v>
      </c>
      <c r="H42" s="63" t="str" cm="1">
        <f t="array" ref="H42">MakeSearchTerm(tblTermine[[#This Row],[Mitarbeiter]], tblTermine[[#This Row],[Datum]])</f>
        <v>Plottek, André - 26-04-28</v>
      </c>
      <c r="I42" s="63">
        <f>YEAR(tblTermine[[#This Row],[Datum]])</f>
        <v>2026</v>
      </c>
    </row>
    <row r="43" spans="2:9" hidden="1" x14ac:dyDescent="0.25">
      <c r="B43" s="61">
        <v>46139</v>
      </c>
      <c r="C43" s="62" t="s">
        <v>4</v>
      </c>
      <c r="D43" s="62" t="s">
        <v>18</v>
      </c>
      <c r="E43" s="65"/>
      <c r="F43" s="64" cm="1">
        <f t="array" ref="F43">TerminArtId(tblTermine[[#This Row],[Terminart]], tblTermine[[#This Row],[Agent]])</f>
        <v>13</v>
      </c>
      <c r="G43" s="63" t="str" cm="1">
        <f t="array" ref="G43">TerminArtDisplay(tblTermine[[#This Row],[Terminart]], tblTermine[[#This Row],[Agent]])</f>
        <v>Alt-KB</v>
      </c>
      <c r="H43" s="63" t="str" cm="1">
        <f t="array" ref="H43">MakeSearchTerm(tblTermine[[#This Row],[Mitarbeiter]], tblTermine[[#This Row],[Datum]])</f>
        <v>Schweitzer, Sven - 26-04-27</v>
      </c>
      <c r="I43" s="63">
        <f>YEAR(tblTermine[[#This Row],[Datum]])</f>
        <v>2026</v>
      </c>
    </row>
    <row r="44" spans="2:9" hidden="1" x14ac:dyDescent="0.25">
      <c r="B44" s="61">
        <v>46148</v>
      </c>
      <c r="C44" s="62" t="s">
        <v>1</v>
      </c>
      <c r="D44" s="62" t="s">
        <v>91</v>
      </c>
      <c r="E44" s="65"/>
      <c r="F44" s="64" cm="1">
        <f t="array" ref="F44">TerminArtId(tblTermine[[#This Row],[Terminart]], tblTermine[[#This Row],[Agent]])</f>
        <v>31</v>
      </c>
      <c r="G44" s="63" t="str" cm="1">
        <f t="array" ref="G44">TerminArtDisplay(tblTermine[[#This Row],[Terminart]], tblTermine[[#This Row],[Agent]])</f>
        <v>Urlaub</v>
      </c>
      <c r="H44" s="63" t="str" cm="1">
        <f t="array" ref="H44">MakeSearchTerm(tblTermine[[#This Row],[Mitarbeiter]], tblTermine[[#This Row],[Datum]])</f>
        <v>Lehrmann, Marcel - 26-05-06</v>
      </c>
      <c r="I44" s="63">
        <f>YEAR(tblTermine[[#This Row],[Datum]])</f>
        <v>2026</v>
      </c>
    </row>
    <row r="45" spans="2:9" hidden="1" x14ac:dyDescent="0.25">
      <c r="B45" s="61">
        <v>46149</v>
      </c>
      <c r="C45" s="62" t="s">
        <v>1</v>
      </c>
      <c r="D45" s="62" t="s">
        <v>91</v>
      </c>
      <c r="E45" s="65"/>
      <c r="F45" s="64" cm="1">
        <f t="array" ref="F45">TerminArtId(tblTermine[[#This Row],[Terminart]], tblTermine[[#This Row],[Agent]])</f>
        <v>31</v>
      </c>
      <c r="G45" s="63" t="str" cm="1">
        <f t="array" ref="G45">TerminArtDisplay(tblTermine[[#This Row],[Terminart]], tblTermine[[#This Row],[Agent]])</f>
        <v>Urlaub</v>
      </c>
      <c r="H45" s="63" t="str" cm="1">
        <f t="array" ref="H45">MakeSearchTerm(tblTermine[[#This Row],[Mitarbeiter]], tblTermine[[#This Row],[Datum]])</f>
        <v>Lehrmann, Marcel - 26-05-07</v>
      </c>
      <c r="I45" s="63">
        <f>YEAR(tblTermine[[#This Row],[Datum]])</f>
        <v>2026</v>
      </c>
    </row>
    <row r="46" spans="2:9" hidden="1" x14ac:dyDescent="0.25">
      <c r="B46" s="61">
        <v>46150</v>
      </c>
      <c r="C46" s="62" t="s">
        <v>1</v>
      </c>
      <c r="D46" s="62" t="s">
        <v>91</v>
      </c>
      <c r="E46" s="65"/>
      <c r="F46" s="64" cm="1">
        <f t="array" ref="F46">TerminArtId(tblTermine[[#This Row],[Terminart]], tblTermine[[#This Row],[Agent]])</f>
        <v>31</v>
      </c>
      <c r="G46" s="63" t="str" cm="1">
        <f t="array" ref="G46">TerminArtDisplay(tblTermine[[#This Row],[Terminart]], tblTermine[[#This Row],[Agent]])</f>
        <v>Urlaub</v>
      </c>
      <c r="H46" s="63" t="str" cm="1">
        <f t="array" ref="H46">MakeSearchTerm(tblTermine[[#This Row],[Mitarbeiter]], tblTermine[[#This Row],[Datum]])</f>
        <v>Lehrmann, Marcel - 26-05-08</v>
      </c>
      <c r="I46" s="63">
        <f>YEAR(tblTermine[[#This Row],[Datum]])</f>
        <v>2026</v>
      </c>
    </row>
    <row r="47" spans="2:9" hidden="1" x14ac:dyDescent="0.25">
      <c r="B47" s="61">
        <v>46157</v>
      </c>
      <c r="C47" s="62" t="s">
        <v>1</v>
      </c>
      <c r="D47" s="62" t="s">
        <v>91</v>
      </c>
      <c r="E47" s="65"/>
      <c r="F47" s="64" cm="1">
        <f t="array" ref="F47">TerminArtId(tblTermine[[#This Row],[Terminart]], tblTermine[[#This Row],[Agent]])</f>
        <v>31</v>
      </c>
      <c r="G47" s="63" t="str" cm="1">
        <f t="array" ref="G47">TerminArtDisplay(tblTermine[[#This Row],[Terminart]], tblTermine[[#This Row],[Agent]])</f>
        <v>Urlaub</v>
      </c>
      <c r="H47" s="63" t="str" cm="1">
        <f t="array" ref="H47">MakeSearchTerm(tblTermine[[#This Row],[Mitarbeiter]], tblTermine[[#This Row],[Datum]])</f>
        <v>Lehrmann, Marcel - 26-05-15</v>
      </c>
      <c r="I47" s="63">
        <f>YEAR(tblTermine[[#This Row],[Datum]])</f>
        <v>2026</v>
      </c>
    </row>
    <row r="48" spans="2:9" x14ac:dyDescent="0.25">
      <c r="B48" s="61">
        <v>46023</v>
      </c>
      <c r="C48" s="62" t="s">
        <v>6</v>
      </c>
      <c r="D48" s="62" t="s">
        <v>16</v>
      </c>
      <c r="E48" s="65"/>
      <c r="F48" s="64" cm="1">
        <f t="array" ref="F48">TerminArtId(tblTermine[[#This Row],[Terminart]], tblTermine[[#This Row],[Agent]])</f>
        <v>11</v>
      </c>
      <c r="G48" s="63" t="str" cm="1">
        <f t="array" ref="G48">TerminArtDisplay(tblTermine[[#This Row],[Terminart]], tblTermine[[#This Row],[Agent]])</f>
        <v>Eigentermin</v>
      </c>
      <c r="H48" s="63" t="str" cm="1">
        <f t="array" ref="H48">MakeSearchTerm(tblTermine[[#This Row],[Mitarbeiter]], tblTermine[[#This Row],[Datum]])</f>
        <v>Weber, Joelle - 26-01-01</v>
      </c>
      <c r="I48" s="63">
        <f>YEAR(tblTermine[[#This Row],[Datum]])</f>
        <v>2026</v>
      </c>
    </row>
  </sheetData>
  <dataValidations count="2">
    <dataValidation type="list" allowBlank="1" showInputMessage="1" showErrorMessage="1" sqref="C3:C48" xr:uid="{A78C2989-45B6-4518-8637-18E5FBA360F8}">
      <formula1>VBNames</formula1>
    </dataValidation>
    <dataValidation type="list" allowBlank="1" showInputMessage="1" showErrorMessage="1" sqref="D3:D48" xr:uid="{A9BDA151-4011-47DE-9CEC-F74F1B542292}">
      <formula1>TerminArten</formula1>
    </dataValidation>
  </dataValidations>
  <pageMargins left="0.7" right="0.7" top="0.78740157499999996" bottom="0.78740157499999996" header="0.3" footer="0.3"/>
  <pageSetup paperSize="9" orientation="portrait" horizontalDpi="4294967293"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7F590-70F4-4321-A6C1-BC04016A0C68}">
  <sheetPr codeName="shhAngebote"/>
  <dimension ref="B1:L19"/>
  <sheetViews>
    <sheetView workbookViewId="0">
      <selection activeCell="E15" sqref="E15"/>
    </sheetView>
  </sheetViews>
  <sheetFormatPr baseColWidth="10" defaultColWidth="16.75" defaultRowHeight="15" x14ac:dyDescent="0.25"/>
  <cols>
    <col min="1" max="1" width="1.625" style="1" customWidth="1"/>
    <col min="2" max="2" width="11.5" style="1" customWidth="1"/>
    <col min="3" max="3" width="16.25" style="1" customWidth="1"/>
    <col min="4" max="4" width="16.75" style="1"/>
    <col min="5" max="5" width="11.625" style="1" customWidth="1"/>
    <col min="6" max="6" width="42.875" style="1" hidden="1" customWidth="1"/>
    <col min="7" max="7" width="7.125" style="1" customWidth="1"/>
    <col min="8" max="8" width="20.125" style="1" bestFit="1" customWidth="1"/>
    <col min="9" max="12" width="9.375" style="1" customWidth="1"/>
    <col min="13" max="16384" width="16.75" style="1"/>
  </cols>
  <sheetData>
    <row r="1" spans="2:12" s="57" customFormat="1" ht="39" customHeight="1" x14ac:dyDescent="0.25">
      <c r="B1" s="57" t="s">
        <v>119</v>
      </c>
    </row>
    <row r="2" spans="2:12" x14ac:dyDescent="0.25">
      <c r="B2" s="1" t="s">
        <v>7</v>
      </c>
      <c r="C2" s="1" t="s">
        <v>0</v>
      </c>
      <c r="D2" s="1" t="s">
        <v>120</v>
      </c>
      <c r="E2" s="1" t="s">
        <v>8</v>
      </c>
      <c r="F2" s="1" t="s">
        <v>134</v>
      </c>
      <c r="H2" s="78" t="s">
        <v>136</v>
      </c>
      <c r="I2" s="78" t="s">
        <v>135</v>
      </c>
      <c r="J2"/>
      <c r="K2"/>
      <c r="L2"/>
    </row>
    <row r="3" spans="2:12" x14ac:dyDescent="0.25">
      <c r="B3" s="56">
        <v>46132</v>
      </c>
      <c r="C3" s="1" t="s">
        <v>1</v>
      </c>
      <c r="D3" s="1" t="s">
        <v>122</v>
      </c>
      <c r="E3" s="1" t="s">
        <v>129</v>
      </c>
      <c r="F3" s="80" t="str">
        <f>tblAngebote[[#This Row],[Mitarbeiter]]&amp;";"&amp;tblAngebote[[#This Row],[Art]]&amp;";"&amp;TEXT(tblAngebote[[#This Row],[Datum]],"JJ-MM-TT")&amp;";"&amp;tblAngebote[[#This Row],[Kunde]]</f>
        <v>Lehrmann, Marcel;Festnetz;26-04-20;Testkunde 1</v>
      </c>
      <c r="H3" s="78" t="s">
        <v>0</v>
      </c>
      <c r="I3" t="s">
        <v>117</v>
      </c>
      <c r="J3" t="s">
        <v>129</v>
      </c>
      <c r="K3" t="s">
        <v>116</v>
      </c>
      <c r="L3" t="s">
        <v>137</v>
      </c>
    </row>
    <row r="4" spans="2:12" x14ac:dyDescent="0.25">
      <c r="B4" s="56">
        <v>46133</v>
      </c>
      <c r="C4" s="1" t="s">
        <v>1</v>
      </c>
      <c r="D4" s="1" t="s">
        <v>123</v>
      </c>
      <c r="E4" s="1" t="s">
        <v>116</v>
      </c>
      <c r="F4" s="80" t="str">
        <f>tblAngebote[[#This Row],[Mitarbeiter]]&amp;";"&amp;tblAngebote[[#This Row],[Art]]&amp;";"&amp;TEXT(tblAngebote[[#This Row],[Datum]],"JJ-MM-TT")&amp;";"&amp;tblAngebote[[#This Row],[Kunde]]</f>
        <v>Lehrmann, Marcel;Mobilfunk;26-04-21;Meier</v>
      </c>
      <c r="H4" s="7" t="s">
        <v>1</v>
      </c>
      <c r="I4" s="81"/>
      <c r="J4" s="81">
        <v>5</v>
      </c>
      <c r="K4" s="81">
        <v>4</v>
      </c>
      <c r="L4" s="81">
        <v>9</v>
      </c>
    </row>
    <row r="5" spans="2:12" x14ac:dyDescent="0.25">
      <c r="B5" s="56">
        <v>46134</v>
      </c>
      <c r="C5" s="1" t="s">
        <v>3</v>
      </c>
      <c r="D5" s="1" t="s">
        <v>124</v>
      </c>
      <c r="E5" s="1" t="s">
        <v>129</v>
      </c>
      <c r="F5" s="80" t="str">
        <f>tblAngebote[[#This Row],[Mitarbeiter]]&amp;";"&amp;tblAngebote[[#This Row],[Art]]&amp;";"&amp;TEXT(tblAngebote[[#This Row],[Datum]],"JJ-MM-TT")&amp;";"&amp;tblAngebote[[#This Row],[Kunde]]</f>
        <v>Plottek, André;Festnetz;26-04-22;Kunze</v>
      </c>
      <c r="H5" s="79" t="s">
        <v>132</v>
      </c>
      <c r="I5" s="81"/>
      <c r="J5" s="81">
        <v>4</v>
      </c>
      <c r="K5" s="81">
        <v>4</v>
      </c>
      <c r="L5" s="81">
        <v>8</v>
      </c>
    </row>
    <row r="6" spans="2:12" x14ac:dyDescent="0.25">
      <c r="B6" s="56">
        <v>46135</v>
      </c>
      <c r="C6" s="1" t="s">
        <v>1</v>
      </c>
      <c r="D6" s="1" t="s">
        <v>125</v>
      </c>
      <c r="E6" s="1" t="s">
        <v>129</v>
      </c>
      <c r="F6" s="80" t="str">
        <f>tblAngebote[[#This Row],[Mitarbeiter]]&amp;";"&amp;tblAngebote[[#This Row],[Art]]&amp;";"&amp;TEXT(tblAngebote[[#This Row],[Datum]],"JJ-MM-TT")&amp;";"&amp;tblAngebote[[#This Row],[Kunde]]</f>
        <v>Lehrmann, Marcel;Festnetz;26-04-23;Testkunde 2</v>
      </c>
      <c r="H6" s="79" t="s">
        <v>133</v>
      </c>
      <c r="I6" s="81"/>
      <c r="J6" s="81">
        <v>1</v>
      </c>
      <c r="K6" s="81"/>
      <c r="L6" s="81">
        <v>1</v>
      </c>
    </row>
    <row r="7" spans="2:12" x14ac:dyDescent="0.25">
      <c r="B7" s="56">
        <v>46136</v>
      </c>
      <c r="C7" s="1" t="s">
        <v>1</v>
      </c>
      <c r="D7" s="1" t="s">
        <v>123</v>
      </c>
      <c r="E7" s="1" t="s">
        <v>116</v>
      </c>
      <c r="F7" s="80" t="str">
        <f>tblAngebote[[#This Row],[Mitarbeiter]]&amp;";"&amp;tblAngebote[[#This Row],[Art]]&amp;";"&amp;TEXT(tblAngebote[[#This Row],[Datum]],"JJ-MM-TT")&amp;";"&amp;tblAngebote[[#This Row],[Kunde]]</f>
        <v>Lehrmann, Marcel;Mobilfunk;26-04-24;Meier</v>
      </c>
      <c r="H7" s="7" t="s">
        <v>3</v>
      </c>
      <c r="I7" s="81">
        <v>1</v>
      </c>
      <c r="J7" s="81">
        <v>2</v>
      </c>
      <c r="K7" s="81">
        <v>1</v>
      </c>
      <c r="L7" s="81">
        <v>4</v>
      </c>
    </row>
    <row r="8" spans="2:12" x14ac:dyDescent="0.25">
      <c r="B8" s="56">
        <v>46137</v>
      </c>
      <c r="C8" s="1" t="s">
        <v>3</v>
      </c>
      <c r="D8" s="1" t="s">
        <v>124</v>
      </c>
      <c r="E8" s="1" t="s">
        <v>116</v>
      </c>
      <c r="F8" s="80" t="str">
        <f>tblAngebote[[#This Row],[Mitarbeiter]]&amp;";"&amp;tblAngebote[[#This Row],[Art]]&amp;";"&amp;TEXT(tblAngebote[[#This Row],[Datum]],"JJ-MM-TT")&amp;";"&amp;tblAngebote[[#This Row],[Kunde]]</f>
        <v>Plottek, André;Mobilfunk;26-04-25;Kunze</v>
      </c>
      <c r="H8" s="79" t="s">
        <v>132</v>
      </c>
      <c r="I8" s="81"/>
      <c r="J8" s="81">
        <v>2</v>
      </c>
      <c r="K8" s="81">
        <v>1</v>
      </c>
      <c r="L8" s="81">
        <v>3</v>
      </c>
    </row>
    <row r="9" spans="2:12" x14ac:dyDescent="0.25">
      <c r="B9" s="56">
        <v>46138</v>
      </c>
      <c r="C9" s="1" t="s">
        <v>1</v>
      </c>
      <c r="D9" s="1" t="s">
        <v>126</v>
      </c>
      <c r="E9" s="1" t="s">
        <v>129</v>
      </c>
      <c r="F9" s="80" t="str">
        <f>tblAngebote[[#This Row],[Mitarbeiter]]&amp;";"&amp;tblAngebote[[#This Row],[Art]]&amp;";"&amp;TEXT(tblAngebote[[#This Row],[Datum]],"JJ-MM-TT")&amp;";"&amp;tblAngebote[[#This Row],[Kunde]]</f>
        <v>Lehrmann, Marcel;Festnetz;26-04-26;Testkunde 3</v>
      </c>
      <c r="H9" s="79" t="s">
        <v>133</v>
      </c>
      <c r="I9" s="81">
        <v>1</v>
      </c>
      <c r="J9" s="81"/>
      <c r="K9" s="81"/>
      <c r="L9" s="81">
        <v>1</v>
      </c>
    </row>
    <row r="10" spans="2:12" x14ac:dyDescent="0.25">
      <c r="B10" s="56">
        <v>46139</v>
      </c>
      <c r="C10" s="1" t="s">
        <v>1</v>
      </c>
      <c r="D10" s="1" t="s">
        <v>123</v>
      </c>
      <c r="E10" s="1" t="s">
        <v>116</v>
      </c>
      <c r="F10" s="80" t="str">
        <f>tblAngebote[[#This Row],[Mitarbeiter]]&amp;";"&amp;tblAngebote[[#This Row],[Art]]&amp;";"&amp;TEXT(tblAngebote[[#This Row],[Datum]],"JJ-MM-TT")&amp;";"&amp;tblAngebote[[#This Row],[Kunde]]</f>
        <v>Lehrmann, Marcel;Mobilfunk;26-04-27;Meier</v>
      </c>
      <c r="H10" s="7" t="s">
        <v>137</v>
      </c>
      <c r="I10" s="81">
        <v>1</v>
      </c>
      <c r="J10" s="81">
        <v>7</v>
      </c>
      <c r="K10" s="81">
        <v>5</v>
      </c>
      <c r="L10" s="81">
        <v>13</v>
      </c>
    </row>
    <row r="11" spans="2:12" x14ac:dyDescent="0.25">
      <c r="B11" s="56">
        <v>46140</v>
      </c>
      <c r="C11" s="1" t="s">
        <v>3</v>
      </c>
      <c r="D11" s="1" t="s">
        <v>124</v>
      </c>
      <c r="E11" s="1" t="s">
        <v>129</v>
      </c>
      <c r="F11" s="80" t="str">
        <f>tblAngebote[[#This Row],[Mitarbeiter]]&amp;";"&amp;tblAngebote[[#This Row],[Art]]&amp;";"&amp;TEXT(tblAngebote[[#This Row],[Datum]],"JJ-MM-TT")&amp;";"&amp;tblAngebote[[#This Row],[Kunde]]</f>
        <v>Plottek, André;Festnetz;26-04-28;Kunze</v>
      </c>
      <c r="H11"/>
      <c r="I11"/>
      <c r="J11"/>
    </row>
    <row r="12" spans="2:12" x14ac:dyDescent="0.25">
      <c r="B12" s="56">
        <v>46141</v>
      </c>
      <c r="C12" s="1" t="s">
        <v>1</v>
      </c>
      <c r="D12" s="1" t="s">
        <v>127</v>
      </c>
      <c r="E12" s="1" t="s">
        <v>129</v>
      </c>
      <c r="F12" s="80" t="str">
        <f>tblAngebote[[#This Row],[Mitarbeiter]]&amp;";"&amp;tblAngebote[[#This Row],[Art]]&amp;";"&amp;TEXT(tblAngebote[[#This Row],[Datum]],"JJ-MM-TT")&amp;";"&amp;tblAngebote[[#This Row],[Kunde]]</f>
        <v>Lehrmann, Marcel;Festnetz;26-04-29;Testkunde 4</v>
      </c>
      <c r="H12"/>
      <c r="I12"/>
      <c r="J12"/>
    </row>
    <row r="13" spans="2:12" x14ac:dyDescent="0.25">
      <c r="B13" s="56">
        <v>46142</v>
      </c>
      <c r="C13" s="1" t="s">
        <v>1</v>
      </c>
      <c r="D13" s="1" t="s">
        <v>123</v>
      </c>
      <c r="E13" s="1" t="s">
        <v>116</v>
      </c>
      <c r="F13" s="80" t="str">
        <f>tblAngebote[[#This Row],[Mitarbeiter]]&amp;";"&amp;tblAngebote[[#This Row],[Art]]&amp;";"&amp;TEXT(tblAngebote[[#This Row],[Datum]],"JJ-MM-TT")&amp;";"&amp;tblAngebote[[#This Row],[Kunde]]</f>
        <v>Lehrmann, Marcel;Mobilfunk;26-04-30;Meier</v>
      </c>
      <c r="H13"/>
      <c r="I13"/>
      <c r="J13"/>
    </row>
    <row r="14" spans="2:12" x14ac:dyDescent="0.25">
      <c r="B14" s="56">
        <v>46143</v>
      </c>
      <c r="C14" s="1" t="s">
        <v>3</v>
      </c>
      <c r="D14" s="1" t="s">
        <v>124</v>
      </c>
      <c r="E14" s="1" t="s">
        <v>117</v>
      </c>
      <c r="F14" s="80" t="str">
        <f>tblAngebote[[#This Row],[Mitarbeiter]]&amp;";"&amp;tblAngebote[[#This Row],[Art]]&amp;";"&amp;TEXT(tblAngebote[[#This Row],[Datum]],"JJ-MM-TT")&amp;";"&amp;tblAngebote[[#This Row],[Kunde]]</f>
        <v>Plottek, André;Daten;26-05-01;Kunze</v>
      </c>
      <c r="H14"/>
      <c r="I14"/>
      <c r="J14"/>
    </row>
    <row r="15" spans="2:12" x14ac:dyDescent="0.25">
      <c r="B15" s="56">
        <v>46144</v>
      </c>
      <c r="C15" s="1" t="s">
        <v>1</v>
      </c>
      <c r="D15" s="1" t="s">
        <v>128</v>
      </c>
      <c r="E15" s="1" t="s">
        <v>129</v>
      </c>
      <c r="F15" s="80" t="str">
        <f>tblAngebote[[#This Row],[Mitarbeiter]]&amp;";"&amp;tblAngebote[[#This Row],[Art]]&amp;";"&amp;TEXT(tblAngebote[[#This Row],[Datum]],"JJ-MM-TT")&amp;";"&amp;tblAngebote[[#This Row],[Kunde]]</f>
        <v>Lehrmann, Marcel;Festnetz;26-05-02;Testkunde 5</v>
      </c>
      <c r="H15"/>
      <c r="I15"/>
      <c r="J15"/>
    </row>
    <row r="16" spans="2:12" x14ac:dyDescent="0.25">
      <c r="H16"/>
      <c r="I16"/>
      <c r="J16"/>
    </row>
    <row r="17" spans="8:10" x14ac:dyDescent="0.25">
      <c r="H17"/>
      <c r="I17"/>
      <c r="J17"/>
    </row>
    <row r="18" spans="8:10" x14ac:dyDescent="0.25">
      <c r="H18"/>
      <c r="I18"/>
      <c r="J18"/>
    </row>
    <row r="19" spans="8:10" x14ac:dyDescent="0.25">
      <c r="H19"/>
      <c r="I19"/>
      <c r="J19"/>
    </row>
  </sheetData>
  <phoneticPr fontId="15" type="noConversion"/>
  <dataValidations count="2">
    <dataValidation type="list" allowBlank="1" showInputMessage="1" showErrorMessage="1" sqref="C3:C15" xr:uid="{BCEBEF13-E696-4C7A-A65B-44F9639EBA59}">
      <formula1>VBNames</formula1>
    </dataValidation>
    <dataValidation type="list" allowBlank="1" showInputMessage="1" showErrorMessage="1" sqref="E3:E15" xr:uid="{F008B7D7-F74A-4106-A7D1-F7BA81688B1A}">
      <formula1>AngebotArt</formula1>
    </dataValidation>
  </dataValidations>
  <pageMargins left="0.7" right="0.7" top="0.78740157499999996" bottom="0.78740157499999996"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EF049-9A0E-4CA3-A193-7FCE3C549EFB}">
  <sheetPr codeName="shEinstellungen"/>
  <dimension ref="A1:Y42"/>
  <sheetViews>
    <sheetView showGridLines="0" workbookViewId="0">
      <pane ySplit="1" topLeftCell="A2" activePane="bottomLeft" state="frozen"/>
      <selection pane="bottomLeft" activeCell="P3" sqref="P3"/>
    </sheetView>
  </sheetViews>
  <sheetFormatPr baseColWidth="10" defaultColWidth="11" defaultRowHeight="15" x14ac:dyDescent="0.25"/>
  <cols>
    <col min="1" max="1" width="21.875" customWidth="1"/>
    <col min="2" max="2" width="11.625" style="9" customWidth="1"/>
    <col min="3" max="10" width="13.625" customWidth="1"/>
    <col min="11" max="11" width="2.375" customWidth="1"/>
    <col min="12" max="12" width="8.125" bestFit="1" customWidth="1"/>
    <col min="13" max="13" width="15.75" bestFit="1" customWidth="1"/>
    <col min="14" max="14" width="2.75" customWidth="1"/>
    <col min="15" max="15" width="15.25" bestFit="1" customWidth="1"/>
    <col min="16" max="16" width="6.875" bestFit="1" customWidth="1"/>
    <col min="17" max="17" width="12.375" bestFit="1" customWidth="1"/>
    <col min="18" max="18" width="1.75" customWidth="1"/>
    <col min="19" max="19" width="1.125" customWidth="1"/>
    <col min="20" max="20" width="21.875" bestFit="1" customWidth="1"/>
    <col min="21" max="21" width="8.5" bestFit="1" customWidth="1"/>
    <col min="22" max="22" width="2.125" customWidth="1"/>
    <col min="23" max="23" width="14.75" bestFit="1" customWidth="1"/>
    <col min="24" max="24" width="3.625" customWidth="1"/>
    <col min="25" max="25" width="13.75" bestFit="1" customWidth="1"/>
  </cols>
  <sheetData>
    <row r="1" spans="1:25" s="2" customFormat="1" ht="36" customHeight="1" x14ac:dyDescent="0.25">
      <c r="A1" s="3" t="s">
        <v>10</v>
      </c>
      <c r="B1" s="12"/>
      <c r="C1" s="11"/>
      <c r="D1" s="11"/>
      <c r="E1" s="11"/>
      <c r="F1" s="11"/>
      <c r="G1" s="11"/>
      <c r="H1" s="11"/>
      <c r="I1" s="11"/>
      <c r="J1" s="11"/>
      <c r="K1" s="11"/>
      <c r="L1" s="11"/>
      <c r="M1" s="11"/>
      <c r="N1" s="11"/>
      <c r="P1" s="3"/>
      <c r="Q1" s="3"/>
      <c r="T1" s="11"/>
      <c r="U1" s="11"/>
    </row>
    <row r="2" spans="1:25" s="5" customFormat="1" ht="39.950000000000003" customHeight="1" x14ac:dyDescent="0.25">
      <c r="A2" s="6" t="s">
        <v>19</v>
      </c>
      <c r="B2" s="6" t="s">
        <v>20</v>
      </c>
      <c r="C2" s="6" t="s">
        <v>21</v>
      </c>
      <c r="D2" s="6" t="s">
        <v>22</v>
      </c>
      <c r="E2" s="6" t="s">
        <v>23</v>
      </c>
      <c r="F2" s="6" t="s">
        <v>24</v>
      </c>
      <c r="G2" s="6" t="s">
        <v>25</v>
      </c>
      <c r="H2" s="6" t="s">
        <v>26</v>
      </c>
      <c r="I2" s="6" t="s">
        <v>113</v>
      </c>
      <c r="J2" s="6" t="s">
        <v>114</v>
      </c>
      <c r="K2" s="6"/>
      <c r="L2" s="6" t="s">
        <v>9</v>
      </c>
      <c r="M2" s="6" t="s">
        <v>34</v>
      </c>
      <c r="N2" s="6"/>
      <c r="O2" s="5" t="s">
        <v>0</v>
      </c>
      <c r="P2" s="5" t="s">
        <v>11</v>
      </c>
      <c r="Q2" s="5" t="s">
        <v>20</v>
      </c>
      <c r="T2" s="6" t="s">
        <v>20</v>
      </c>
      <c r="U2" s="6" t="s">
        <v>27</v>
      </c>
      <c r="W2" s="6" t="s">
        <v>79</v>
      </c>
      <c r="X2" s="6"/>
      <c r="Y2" s="5" t="s">
        <v>121</v>
      </c>
    </row>
    <row r="3" spans="1:25" s="4" customFormat="1" x14ac:dyDescent="0.25">
      <c r="A3" t="s">
        <v>28</v>
      </c>
      <c r="B3" s="7" t="s">
        <v>29</v>
      </c>
      <c r="C3" s="43">
        <f>DATE(tblFeiertage[[#Headers],[2025]],1,1)</f>
        <v>45658</v>
      </c>
      <c r="D3" s="43">
        <f>DATE(tblFeiertage[[#Headers],[2026]],1,1)</f>
        <v>46023</v>
      </c>
      <c r="E3" s="43">
        <f>DATE(tblFeiertage[[#Headers],[2027]],1,1)</f>
        <v>46388</v>
      </c>
      <c r="F3" s="43">
        <f>DATE(tblFeiertage[[#Headers],[2028]],1,1)</f>
        <v>46753</v>
      </c>
      <c r="G3" s="43">
        <f>DATE(tblFeiertage[[#Headers],[2029]],1,1)</f>
        <v>47119</v>
      </c>
      <c r="H3" s="43">
        <f>DATE(tblFeiertage[[#Headers],[2030]],1,1)</f>
        <v>47484</v>
      </c>
      <c r="I3" s="43">
        <f>DATE(tblFeiertage[[#Headers],[2031]],1,1)</f>
        <v>47849</v>
      </c>
      <c r="J3" s="43">
        <f>DATE(tblFeiertage[[#Headers],[2032]],1,1)</f>
        <v>48214</v>
      </c>
      <c r="K3" s="43"/>
      <c r="L3" s="52">
        <v>2025</v>
      </c>
      <c r="M3" s="53" cm="1">
        <f t="array" ref="M3">Ostersonntag(tblOstern[[#This Row],[Jahr]])</f>
        <v>45767</v>
      </c>
      <c r="N3"/>
      <c r="O3" s="4" t="s">
        <v>12</v>
      </c>
      <c r="P3" s="8" t="b">
        <v>0</v>
      </c>
      <c r="Q3" s="6" t="s">
        <v>29</v>
      </c>
      <c r="T3" t="s">
        <v>30</v>
      </c>
      <c r="U3" t="s">
        <v>29</v>
      </c>
      <c r="W3" t="s">
        <v>16</v>
      </c>
      <c r="X3"/>
      <c r="Y3" s="4" t="s">
        <v>116</v>
      </c>
    </row>
    <row r="4" spans="1:25" s="4" customFormat="1" x14ac:dyDescent="0.25">
      <c r="A4" t="s">
        <v>56</v>
      </c>
      <c r="B4" s="10" t="s">
        <v>33</v>
      </c>
      <c r="C4" s="43">
        <f>DATE(tblFeiertage[[#Headers],[2025]],1,6)</f>
        <v>45663</v>
      </c>
      <c r="D4" s="43">
        <f>DATE(tblFeiertage[[#Headers],[2026]],1,6)</f>
        <v>46028</v>
      </c>
      <c r="E4" s="43">
        <f>DATE(tblFeiertage[[#Headers],[2027]],1,6)</f>
        <v>46393</v>
      </c>
      <c r="F4" s="43">
        <f>DATE(tblFeiertage[[#Headers],[2028]],1,6)</f>
        <v>46758</v>
      </c>
      <c r="G4" s="43">
        <f>DATE(tblFeiertage[[#Headers],[2029]],1,6)</f>
        <v>47124</v>
      </c>
      <c r="H4" s="43">
        <f>DATE(tblFeiertage[[#Headers],[2030]],1,6)</f>
        <v>47489</v>
      </c>
      <c r="I4" s="43">
        <f>DATE(tblFeiertage[[#Headers],[2031]],1,6)</f>
        <v>47854</v>
      </c>
      <c r="J4" s="43">
        <f>DATE(tblFeiertage[[#Headers],[2032]],1,6)</f>
        <v>48219</v>
      </c>
      <c r="K4" s="43"/>
      <c r="L4" s="52">
        <v>2026</v>
      </c>
      <c r="M4" s="53" cm="1">
        <f t="array" ref="M4">Ostersonntag(tblOstern[[#This Row],[Jahr]])</f>
        <v>46117</v>
      </c>
      <c r="N4"/>
      <c r="O4" s="4" t="s">
        <v>1</v>
      </c>
      <c r="P4" s="8" t="b">
        <v>1</v>
      </c>
      <c r="Q4" s="6" t="s">
        <v>44</v>
      </c>
      <c r="T4" t="s">
        <v>32</v>
      </c>
      <c r="U4" t="s">
        <v>33</v>
      </c>
      <c r="W4" t="s">
        <v>17</v>
      </c>
      <c r="X4"/>
      <c r="Y4" s="4" t="s">
        <v>117</v>
      </c>
    </row>
    <row r="5" spans="1:25" s="4" customFormat="1" x14ac:dyDescent="0.25">
      <c r="A5" t="s">
        <v>56</v>
      </c>
      <c r="B5" s="10" t="s">
        <v>36</v>
      </c>
      <c r="C5" s="43">
        <f>DATE(tblFeiertage[[#Headers],[2025]],1,6)</f>
        <v>45663</v>
      </c>
      <c r="D5" s="43">
        <f>DATE(tblFeiertage[[#Headers],[2026]],1,6)</f>
        <v>46028</v>
      </c>
      <c r="E5" s="43">
        <f>DATE(tblFeiertage[[#Headers],[2027]],1,6)</f>
        <v>46393</v>
      </c>
      <c r="F5" s="43">
        <f>DATE(tblFeiertage[[#Headers],[2028]],1,6)</f>
        <v>46758</v>
      </c>
      <c r="G5" s="43">
        <f>DATE(tblFeiertage[[#Headers],[2029]],1,6)</f>
        <v>47124</v>
      </c>
      <c r="H5" s="43">
        <f>DATE(tblFeiertage[[#Headers],[2030]],1,6)</f>
        <v>47489</v>
      </c>
      <c r="I5" s="43">
        <f>DATE(tblFeiertage[[#Headers],[2031]],1,6)</f>
        <v>47854</v>
      </c>
      <c r="J5" s="43">
        <f>DATE(tblFeiertage[[#Headers],[2032]],1,6)</f>
        <v>48219</v>
      </c>
      <c r="K5" s="43"/>
      <c r="L5" s="52">
        <v>2027</v>
      </c>
      <c r="M5" s="53" cm="1">
        <f t="array" ref="M5">Ostersonntag(tblOstern[[#This Row],[Jahr]])</f>
        <v>46474</v>
      </c>
      <c r="N5"/>
      <c r="O5" s="4" t="s">
        <v>13</v>
      </c>
      <c r="P5" s="8" t="b">
        <v>0</v>
      </c>
      <c r="Q5" s="6" t="s">
        <v>55</v>
      </c>
      <c r="T5" t="s">
        <v>35</v>
      </c>
      <c r="U5" t="s">
        <v>36</v>
      </c>
      <c r="W5" t="s">
        <v>18</v>
      </c>
      <c r="X5"/>
      <c r="Y5" s="4" t="s">
        <v>129</v>
      </c>
    </row>
    <row r="6" spans="1:25" s="4" customFormat="1" x14ac:dyDescent="0.25">
      <c r="A6" t="s">
        <v>56</v>
      </c>
      <c r="B6" s="10" t="s">
        <v>61</v>
      </c>
      <c r="C6" s="43">
        <f>DATE(tblFeiertage[[#Headers],[2025]],1,6)</f>
        <v>45663</v>
      </c>
      <c r="D6" s="43">
        <f>DATE(tblFeiertage[[#Headers],[2026]],1,6)</f>
        <v>46028</v>
      </c>
      <c r="E6" s="43">
        <f>DATE(tblFeiertage[[#Headers],[2027]],1,6)</f>
        <v>46393</v>
      </c>
      <c r="F6" s="43">
        <f>DATE(tblFeiertage[[#Headers],[2028]],1,6)</f>
        <v>46758</v>
      </c>
      <c r="G6" s="43">
        <f>DATE(tblFeiertage[[#Headers],[2029]],1,6)</f>
        <v>47124</v>
      </c>
      <c r="H6" s="43">
        <f>DATE(tblFeiertage[[#Headers],[2030]],1,6)</f>
        <v>47489</v>
      </c>
      <c r="I6" s="43">
        <f>DATE(tblFeiertage[[#Headers],[2031]],1,6)</f>
        <v>47854</v>
      </c>
      <c r="J6" s="43">
        <f>DATE(tblFeiertage[[#Headers],[2032]],1,6)</f>
        <v>48219</v>
      </c>
      <c r="K6" s="43"/>
      <c r="L6" s="52">
        <v>2028</v>
      </c>
      <c r="M6" s="53" cm="1">
        <f t="array" ref="M6">Ostersonntag(tblOstern[[#This Row],[Jahr]])</f>
        <v>46859</v>
      </c>
      <c r="N6"/>
      <c r="O6" s="4" t="s">
        <v>3</v>
      </c>
      <c r="P6" s="8" t="b">
        <v>1</v>
      </c>
      <c r="Q6" s="6" t="s">
        <v>33</v>
      </c>
      <c r="T6" t="s">
        <v>38</v>
      </c>
      <c r="U6" t="s">
        <v>39</v>
      </c>
      <c r="W6" s="5" t="s">
        <v>91</v>
      </c>
      <c r="X6" s="5"/>
      <c r="Y6" s="4" t="s">
        <v>130</v>
      </c>
    </row>
    <row r="7" spans="1:25" s="4" customFormat="1" x14ac:dyDescent="0.25">
      <c r="A7" t="s">
        <v>64</v>
      </c>
      <c r="B7" s="10" t="s">
        <v>39</v>
      </c>
      <c r="C7" s="43">
        <f>DATE(tblFeiertage[[#Headers],[2025]], 3, 8)</f>
        <v>45724</v>
      </c>
      <c r="D7" s="43">
        <f>DATE(tblFeiertage[[#Headers],[2026]], 3, 8)</f>
        <v>46089</v>
      </c>
      <c r="E7" s="43">
        <f>DATE(tblFeiertage[[#Headers],[2027]], 3, 8)</f>
        <v>46454</v>
      </c>
      <c r="F7" s="43">
        <f>DATE(tblFeiertage[[#Headers],[2028]], 3, 8)</f>
        <v>46820</v>
      </c>
      <c r="G7" s="43">
        <f>DATE(tblFeiertage[[#Headers],[2029]], 3, 8)</f>
        <v>47185</v>
      </c>
      <c r="H7" s="43">
        <f>DATE(tblFeiertage[[#Headers],[2030]], 3, 8)</f>
        <v>47550</v>
      </c>
      <c r="I7" s="43">
        <f>DATE(tblFeiertage[[#Headers],[2031]], 3, 8)</f>
        <v>47915</v>
      </c>
      <c r="J7" s="43">
        <f>DATE(tblFeiertage[[#Headers],[2032]], 3, 8)</f>
        <v>48281</v>
      </c>
      <c r="K7" s="43"/>
      <c r="L7" s="52">
        <v>2029</v>
      </c>
      <c r="M7" s="53" cm="1">
        <f t="array" ref="M7">Ostersonntag(tblOstern[[#This Row],[Jahr]])</f>
        <v>47209</v>
      </c>
      <c r="N7"/>
      <c r="O7" s="4" t="s">
        <v>4</v>
      </c>
      <c r="P7" s="8" t="b">
        <v>1</v>
      </c>
      <c r="Q7" s="6" t="s">
        <v>46</v>
      </c>
      <c r="T7" t="s">
        <v>41</v>
      </c>
      <c r="U7" t="s">
        <v>42</v>
      </c>
      <c r="W7" s="4" t="s">
        <v>92</v>
      </c>
      <c r="Y7" s="4" t="s">
        <v>131</v>
      </c>
    </row>
    <row r="8" spans="1:25" s="4" customFormat="1" x14ac:dyDescent="0.25">
      <c r="A8" t="s">
        <v>64</v>
      </c>
      <c r="B8" s="10" t="s">
        <v>52</v>
      </c>
      <c r="C8" s="43">
        <f>DATE(tblFeiertage[[#Headers],[2025]], 3, 8)</f>
        <v>45724</v>
      </c>
      <c r="D8" s="43">
        <f>DATE(tblFeiertage[[#Headers],[2026]], 3, 8)</f>
        <v>46089</v>
      </c>
      <c r="E8" s="43">
        <f>DATE(tblFeiertage[[#Headers],[2027]], 3, 8)</f>
        <v>46454</v>
      </c>
      <c r="F8" s="43">
        <f>DATE(tblFeiertage[[#Headers],[2028]], 3, 8)</f>
        <v>46820</v>
      </c>
      <c r="G8" s="43">
        <f>DATE(tblFeiertage[[#Headers],[2029]], 3, 8)</f>
        <v>47185</v>
      </c>
      <c r="H8" s="43">
        <f>DATE(tblFeiertage[[#Headers],[2030]], 3, 8)</f>
        <v>47550</v>
      </c>
      <c r="I8" s="43">
        <f>DATE(tblFeiertage[[#Headers],[2031]], 3, 8)</f>
        <v>47915</v>
      </c>
      <c r="J8" s="43">
        <f>DATE(tblFeiertage[[#Headers],[2032]], 3, 8)</f>
        <v>48281</v>
      </c>
      <c r="K8" s="43"/>
      <c r="L8" s="52">
        <v>2030</v>
      </c>
      <c r="M8" s="53" cm="1">
        <f t="array" ref="M8">Ostersonntag(tblOstern[[#This Row],[Jahr]])</f>
        <v>47594</v>
      </c>
      <c r="N8"/>
      <c r="O8" s="4" t="s">
        <v>6</v>
      </c>
      <c r="P8" s="8" t="b">
        <v>1</v>
      </c>
      <c r="Q8" s="6" t="s">
        <v>58</v>
      </c>
      <c r="T8" t="s">
        <v>2</v>
      </c>
      <c r="U8" t="s">
        <v>44</v>
      </c>
    </row>
    <row r="9" spans="1:25" s="4" customFormat="1" x14ac:dyDescent="0.25">
      <c r="A9" t="s">
        <v>31</v>
      </c>
      <c r="B9" s="7" t="s">
        <v>29</v>
      </c>
      <c r="C9" s="43">
        <f>_xlfn.XLOOKUP(2025 + COLUMN() - 3, tblOstern[Jahr], tblOstern[Ostersonntag]) - 2</f>
        <v>45765</v>
      </c>
      <c r="D9" s="43">
        <f>_xlfn.XLOOKUP(2025 + COLUMN() - 3, tblOstern[Jahr], tblOstern[Ostersonntag]) - 2</f>
        <v>46115</v>
      </c>
      <c r="E9" s="43">
        <f>_xlfn.XLOOKUP(2025 + COLUMN() - 3, tblOstern[Jahr], tblOstern[Ostersonntag]) - 2</f>
        <v>46472</v>
      </c>
      <c r="F9" s="43">
        <f>_xlfn.XLOOKUP(2025 + COLUMN() - 3, tblOstern[Jahr], tblOstern[Ostersonntag]) - 2</f>
        <v>46857</v>
      </c>
      <c r="G9" s="43">
        <f>_xlfn.XLOOKUP(2025 + COLUMN() - 3, tblOstern[Jahr], tblOstern[Ostersonntag]) - 2</f>
        <v>47207</v>
      </c>
      <c r="H9" s="43">
        <f>_xlfn.XLOOKUP(2025 + COLUMN() - 3, tblOstern[Jahr], tblOstern[Ostersonntag]) - 2</f>
        <v>47592</v>
      </c>
      <c r="I9" s="43">
        <f>_xlfn.XLOOKUP(2025 + COLUMN() - 3, tblOstern[Jahr], tblOstern[Ostersonntag]) - 2</f>
        <v>47949</v>
      </c>
      <c r="J9" s="43">
        <f>_xlfn.XLOOKUP(2025 + COLUMN() - 3, tblOstern[Jahr], tblOstern[Ostersonntag]) - 2</f>
        <v>48299</v>
      </c>
      <c r="K9" s="43"/>
      <c r="L9" s="52">
        <v>2031</v>
      </c>
      <c r="M9" s="53" cm="1">
        <f t="array" ref="M9">Ostersonntag(tblOstern[[#This Row],[Jahr]])</f>
        <v>47951</v>
      </c>
      <c r="N9"/>
      <c r="O9" s="4" t="s">
        <v>14</v>
      </c>
      <c r="P9" s="8" t="b">
        <v>0</v>
      </c>
      <c r="Q9" s="6" t="s">
        <v>36</v>
      </c>
      <c r="T9" t="s">
        <v>5</v>
      </c>
      <c r="U9" t="s">
        <v>46</v>
      </c>
    </row>
    <row r="10" spans="1:25" s="4" customFormat="1" x14ac:dyDescent="0.25">
      <c r="A10" t="s">
        <v>34</v>
      </c>
      <c r="B10" s="7" t="s">
        <v>29</v>
      </c>
      <c r="C10" s="43">
        <f>_xlfn.XLOOKUP(2025 + COLUMN() - 3, tblOstern[Jahr], tblOstern[Ostersonntag])</f>
        <v>45767</v>
      </c>
      <c r="D10" s="43">
        <f>_xlfn.XLOOKUP(2025 + COLUMN() - 3, tblOstern[Jahr], tblOstern[Ostersonntag])</f>
        <v>46117</v>
      </c>
      <c r="E10" s="43">
        <f>_xlfn.XLOOKUP(2025 + COLUMN() - 3, tblOstern[Jahr], tblOstern[Ostersonntag])</f>
        <v>46474</v>
      </c>
      <c r="F10" s="43">
        <f>_xlfn.XLOOKUP(2025 + COLUMN() - 3, tblOstern[Jahr], tblOstern[Ostersonntag])</f>
        <v>46859</v>
      </c>
      <c r="G10" s="43">
        <f>_xlfn.XLOOKUP(2025 + COLUMN() - 3, tblOstern[Jahr], tblOstern[Ostersonntag])</f>
        <v>47209</v>
      </c>
      <c r="H10" s="43">
        <f>_xlfn.XLOOKUP(2025 + COLUMN() - 3, tblOstern[Jahr], tblOstern[Ostersonntag])</f>
        <v>47594</v>
      </c>
      <c r="I10" s="43">
        <f>_xlfn.XLOOKUP(2025 + COLUMN() - 3, tblOstern[Jahr], tblOstern[Ostersonntag])</f>
        <v>47951</v>
      </c>
      <c r="J10" s="43">
        <f>_xlfn.XLOOKUP(2025 + COLUMN() - 3, tblOstern[Jahr], tblOstern[Ostersonntag])</f>
        <v>48301</v>
      </c>
      <c r="K10" s="43"/>
      <c r="L10" s="52">
        <v>2032</v>
      </c>
      <c r="M10" s="53" cm="1">
        <f t="array" ref="M10">Ostersonntag(tblOstern[[#This Row],[Jahr]])</f>
        <v>48301</v>
      </c>
      <c r="N10"/>
      <c r="T10" t="s">
        <v>48</v>
      </c>
      <c r="U10" t="s">
        <v>49</v>
      </c>
    </row>
    <row r="11" spans="1:25" s="4" customFormat="1" x14ac:dyDescent="0.25">
      <c r="A11" t="s">
        <v>37</v>
      </c>
      <c r="B11" s="7" t="s">
        <v>29</v>
      </c>
      <c r="C11" s="43">
        <f>_xlfn.XLOOKUP(2022 + COLUMN(), tblOstern[Jahr], tblOstern[Ostersonntag]) +1</f>
        <v>45768</v>
      </c>
      <c r="D11" s="43">
        <f>_xlfn.XLOOKUP(2022 + COLUMN(), tblOstern[Jahr], tblOstern[Ostersonntag]) +1</f>
        <v>46118</v>
      </c>
      <c r="E11" s="43">
        <f>_xlfn.XLOOKUP(2022 + COLUMN(), tblOstern[Jahr], tblOstern[Ostersonntag]) +1</f>
        <v>46475</v>
      </c>
      <c r="F11" s="43">
        <f>_xlfn.XLOOKUP(2022 + COLUMN(), tblOstern[Jahr], tblOstern[Ostersonntag]) +1</f>
        <v>46860</v>
      </c>
      <c r="G11" s="43">
        <f>_xlfn.XLOOKUP(2022 + COLUMN(), tblOstern[Jahr], tblOstern[Ostersonntag]) +1</f>
        <v>47210</v>
      </c>
      <c r="H11" s="43">
        <f>_xlfn.XLOOKUP(2022 + COLUMN(), tblOstern[Jahr], tblOstern[Ostersonntag]) +1</f>
        <v>47595</v>
      </c>
      <c r="I11" s="43">
        <f>_xlfn.XLOOKUP(2022 + COLUMN(), tblOstern[Jahr], tblOstern[Ostersonntag]) +1</f>
        <v>47952</v>
      </c>
      <c r="J11" s="43">
        <f>_xlfn.XLOOKUP(2022 + COLUMN(), tblOstern[Jahr], tblOstern[Ostersonntag]) +1</f>
        <v>48302</v>
      </c>
      <c r="K11" s="43"/>
      <c r="L11" s="43"/>
      <c r="M11" s="43"/>
      <c r="N11"/>
      <c r="T11" t="s">
        <v>51</v>
      </c>
      <c r="U11" t="s">
        <v>52</v>
      </c>
    </row>
    <row r="12" spans="1:25" s="4" customFormat="1" x14ac:dyDescent="0.25">
      <c r="A12" t="s">
        <v>40</v>
      </c>
      <c r="B12" s="7" t="s">
        <v>29</v>
      </c>
      <c r="C12" s="43">
        <f>DATE(tblFeiertage[[#Headers],[2025]],5,1)</f>
        <v>45778</v>
      </c>
      <c r="D12" s="43">
        <f>DATE(tblFeiertage[[#Headers],[2026]],5,1)</f>
        <v>46143</v>
      </c>
      <c r="E12" s="43">
        <f>DATE(tblFeiertage[[#Headers],[2027]],5,1)</f>
        <v>46508</v>
      </c>
      <c r="F12" s="43">
        <f>DATE(tblFeiertage[[#Headers],[2028]],5,1)</f>
        <v>46874</v>
      </c>
      <c r="G12" s="43">
        <f>DATE(tblFeiertage[[#Headers],[2029]],5,1)</f>
        <v>47239</v>
      </c>
      <c r="H12" s="43">
        <f>DATE(tblFeiertage[[#Headers],[2030]],5,1)</f>
        <v>47604</v>
      </c>
      <c r="I12" s="43">
        <f>DATE(tblFeiertage[[#Headers],[2031]],5,1)</f>
        <v>47969</v>
      </c>
      <c r="J12" s="43">
        <f>DATE(tblFeiertage[[#Headers],[2032]],5,1)</f>
        <v>48335</v>
      </c>
      <c r="K12" s="43"/>
      <c r="L12" s="43"/>
      <c r="M12" s="43"/>
      <c r="N12"/>
      <c r="T12" t="s">
        <v>54</v>
      </c>
      <c r="U12" t="s">
        <v>55</v>
      </c>
    </row>
    <row r="13" spans="1:25" s="4" customFormat="1" x14ac:dyDescent="0.25">
      <c r="A13" t="s">
        <v>43</v>
      </c>
      <c r="B13" s="7" t="s">
        <v>29</v>
      </c>
      <c r="C13" s="43">
        <f>_xlfn.XLOOKUP(2022 + COLUMN(), tblOstern[Jahr], tblOstern[Ostersonntag]) + 39</f>
        <v>45806</v>
      </c>
      <c r="D13" s="43">
        <f>_xlfn.XLOOKUP(2022 + COLUMN(), tblOstern[Jahr], tblOstern[Ostersonntag]) + 39</f>
        <v>46156</v>
      </c>
      <c r="E13" s="43">
        <f>_xlfn.XLOOKUP(2022 + COLUMN(), tblOstern[Jahr], tblOstern[Ostersonntag]) + 39</f>
        <v>46513</v>
      </c>
      <c r="F13" s="43">
        <f>_xlfn.XLOOKUP(2022 + COLUMN(), tblOstern[Jahr], tblOstern[Ostersonntag]) + 39</f>
        <v>46898</v>
      </c>
      <c r="G13" s="43">
        <f>_xlfn.XLOOKUP(2022 + COLUMN(), tblOstern[Jahr], tblOstern[Ostersonntag]) + 39</f>
        <v>47248</v>
      </c>
      <c r="H13" s="43">
        <f>_xlfn.XLOOKUP(2022 + COLUMN(), tblOstern[Jahr], tblOstern[Ostersonntag]) + 39</f>
        <v>47633</v>
      </c>
      <c r="I13" s="43">
        <f>_xlfn.XLOOKUP(2022 + COLUMN(), tblOstern[Jahr], tblOstern[Ostersonntag]) + 39</f>
        <v>47990</v>
      </c>
      <c r="J13" s="43">
        <f>_xlfn.XLOOKUP(2022 + COLUMN(), tblOstern[Jahr], tblOstern[Ostersonntag]) + 39</f>
        <v>48340</v>
      </c>
      <c r="K13" s="43"/>
      <c r="L13" s="43"/>
      <c r="M13" s="43"/>
      <c r="N13"/>
      <c r="T13" t="s">
        <v>57</v>
      </c>
      <c r="U13" t="s">
        <v>58</v>
      </c>
    </row>
    <row r="14" spans="1:25" s="4" customFormat="1" x14ac:dyDescent="0.25">
      <c r="A14" t="s">
        <v>45</v>
      </c>
      <c r="B14" s="7" t="s">
        <v>29</v>
      </c>
      <c r="C14" s="43">
        <f>_xlfn.XLOOKUP(2022 + COLUMN(), tblOstern[Jahr], tblOstern[Ostersonntag]) + 50</f>
        <v>45817</v>
      </c>
      <c r="D14" s="43">
        <f>_xlfn.XLOOKUP(2022 + COLUMN(), tblOstern[Jahr], tblOstern[Ostersonntag]) + 50</f>
        <v>46167</v>
      </c>
      <c r="E14" s="43">
        <f>_xlfn.XLOOKUP(2022 + COLUMN(), tblOstern[Jahr], tblOstern[Ostersonntag]) + 50</f>
        <v>46524</v>
      </c>
      <c r="F14" s="43">
        <f>_xlfn.XLOOKUP(2022 + COLUMN(), tblOstern[Jahr], tblOstern[Ostersonntag]) + 50</f>
        <v>46909</v>
      </c>
      <c r="G14" s="43">
        <f>_xlfn.XLOOKUP(2022 + COLUMN(), tblOstern[Jahr], tblOstern[Ostersonntag]) + 50</f>
        <v>47259</v>
      </c>
      <c r="H14" s="43">
        <f>_xlfn.XLOOKUP(2022 + COLUMN(), tblOstern[Jahr], tblOstern[Ostersonntag]) + 50</f>
        <v>47644</v>
      </c>
      <c r="I14" s="43">
        <f>_xlfn.XLOOKUP(2022 + COLUMN(), tblOstern[Jahr], tblOstern[Ostersonntag]) + 50</f>
        <v>48001</v>
      </c>
      <c r="J14" s="43">
        <f>_xlfn.XLOOKUP(2022 + COLUMN(), tblOstern[Jahr], tblOstern[Ostersonntag]) + 50</f>
        <v>48351</v>
      </c>
      <c r="K14" s="43"/>
      <c r="M14" s="43"/>
      <c r="N14"/>
      <c r="T14" t="s">
        <v>59</v>
      </c>
      <c r="U14" t="s">
        <v>60</v>
      </c>
    </row>
    <row r="15" spans="1:25" s="4" customFormat="1" x14ac:dyDescent="0.25">
      <c r="A15" t="s">
        <v>68</v>
      </c>
      <c r="B15" s="10" t="s">
        <v>33</v>
      </c>
      <c r="C15" s="43">
        <f>_xlfn.XLOOKUP(2022 + COLUMN(), tblOstern[Jahr], tblOstern[Ostersonntag]) + 60</f>
        <v>45827</v>
      </c>
      <c r="D15" s="43">
        <f>_xlfn.XLOOKUP(2022 + COLUMN(), tblOstern[Jahr], tblOstern[Ostersonntag]) + 60</f>
        <v>46177</v>
      </c>
      <c r="E15" s="43">
        <f>_xlfn.XLOOKUP(2022 + COLUMN(), tblOstern[Jahr], tblOstern[Ostersonntag]) + 60</f>
        <v>46534</v>
      </c>
      <c r="F15" s="43">
        <f>_xlfn.XLOOKUP(2022 + COLUMN(), tblOstern[Jahr], tblOstern[Ostersonntag]) + 60</f>
        <v>46919</v>
      </c>
      <c r="G15" s="43">
        <f>_xlfn.XLOOKUP(2022 + COLUMN(), tblOstern[Jahr], tblOstern[Ostersonntag]) + 60</f>
        <v>47269</v>
      </c>
      <c r="H15" s="43">
        <f>_xlfn.XLOOKUP(2022 + COLUMN(), tblOstern[Jahr], tblOstern[Ostersonntag]) + 60</f>
        <v>47654</v>
      </c>
      <c r="I15" s="43">
        <f>_xlfn.XLOOKUP(2022 + COLUMN(), tblOstern[Jahr], tblOstern[Ostersonntag]) + 60</f>
        <v>48011</v>
      </c>
      <c r="J15" s="43">
        <f>_xlfn.XLOOKUP(2022 + COLUMN(), tblOstern[Jahr], tblOstern[Ostersonntag]) + 60</f>
        <v>48361</v>
      </c>
      <c r="K15" s="43"/>
      <c r="M15" s="43"/>
      <c r="N15"/>
      <c r="T15" t="s">
        <v>62</v>
      </c>
      <c r="U15" t="s">
        <v>63</v>
      </c>
    </row>
    <row r="16" spans="1:25" s="4" customFormat="1" x14ac:dyDescent="0.25">
      <c r="A16" t="s">
        <v>68</v>
      </c>
      <c r="B16" s="10" t="s">
        <v>36</v>
      </c>
      <c r="C16" s="43">
        <v>45827</v>
      </c>
      <c r="D16" s="43">
        <v>46177</v>
      </c>
      <c r="E16" s="43">
        <v>46534</v>
      </c>
      <c r="F16" s="43">
        <v>46919</v>
      </c>
      <c r="G16" s="43">
        <v>47269</v>
      </c>
      <c r="H16" s="43">
        <v>47654</v>
      </c>
      <c r="I16" s="43">
        <v>48011</v>
      </c>
      <c r="J16" s="43">
        <v>48361</v>
      </c>
      <c r="K16" s="43"/>
      <c r="M16" s="43"/>
      <c r="N16"/>
      <c r="T16" t="s">
        <v>65</v>
      </c>
      <c r="U16" t="s">
        <v>66</v>
      </c>
    </row>
    <row r="17" spans="1:25" s="4" customFormat="1" ht="15" customHeight="1" x14ac:dyDescent="0.25">
      <c r="A17" t="s">
        <v>68</v>
      </c>
      <c r="B17" s="10" t="s">
        <v>49</v>
      </c>
      <c r="C17" s="43">
        <v>45827</v>
      </c>
      <c r="D17" s="43">
        <v>46177</v>
      </c>
      <c r="E17" s="43">
        <v>46534</v>
      </c>
      <c r="F17" s="43">
        <v>46919</v>
      </c>
      <c r="G17" s="43">
        <v>47269</v>
      </c>
      <c r="H17" s="43">
        <v>47654</v>
      </c>
      <c r="I17" s="43">
        <v>48011</v>
      </c>
      <c r="J17" s="43">
        <v>48361</v>
      </c>
      <c r="K17" s="43"/>
      <c r="M17" s="43"/>
      <c r="N17"/>
      <c r="T17" t="s">
        <v>67</v>
      </c>
      <c r="U17" t="s">
        <v>61</v>
      </c>
    </row>
    <row r="18" spans="1:25" s="4" customFormat="1" x14ac:dyDescent="0.25">
      <c r="A18" t="s">
        <v>68</v>
      </c>
      <c r="B18" s="10" t="s">
        <v>58</v>
      </c>
      <c r="C18" s="43">
        <v>45827</v>
      </c>
      <c r="D18" s="43">
        <v>46177</v>
      </c>
      <c r="E18" s="43">
        <v>46534</v>
      </c>
      <c r="F18" s="43">
        <v>46919</v>
      </c>
      <c r="G18" s="43">
        <v>47269</v>
      </c>
      <c r="H18" s="43">
        <v>47654</v>
      </c>
      <c r="I18" s="43">
        <v>48011</v>
      </c>
      <c r="J18" s="43">
        <v>48361</v>
      </c>
      <c r="K18" s="43"/>
      <c r="M18" s="43"/>
      <c r="N18"/>
      <c r="T18" t="s">
        <v>69</v>
      </c>
      <c r="U18" t="s">
        <v>70</v>
      </c>
    </row>
    <row r="19" spans="1:25" s="4" customFormat="1" x14ac:dyDescent="0.25">
      <c r="A19" t="s">
        <v>68</v>
      </c>
      <c r="B19" s="10" t="s">
        <v>60</v>
      </c>
      <c r="C19" s="43">
        <v>45827</v>
      </c>
      <c r="D19" s="43">
        <v>46177</v>
      </c>
      <c r="E19" s="43">
        <v>46534</v>
      </c>
      <c r="F19" s="43">
        <v>46919</v>
      </c>
      <c r="G19" s="43">
        <v>47269</v>
      </c>
      <c r="H19" s="43">
        <v>47654</v>
      </c>
      <c r="I19" s="43">
        <v>48011</v>
      </c>
      <c r="J19" s="43">
        <v>48361</v>
      </c>
      <c r="K19" s="43"/>
      <c r="M19" s="43"/>
      <c r="N19"/>
      <c r="T19" t="s">
        <v>71</v>
      </c>
      <c r="U19" t="s">
        <v>72</v>
      </c>
    </row>
    <row r="20" spans="1:25" s="4" customFormat="1" x14ac:dyDescent="0.25">
      <c r="A20" t="s">
        <v>68</v>
      </c>
      <c r="B20" s="10" t="s">
        <v>63</v>
      </c>
      <c r="C20" s="43">
        <v>45827</v>
      </c>
      <c r="D20" s="43">
        <v>46177</v>
      </c>
      <c r="E20" s="43">
        <v>46534</v>
      </c>
      <c r="F20" s="43">
        <v>46919</v>
      </c>
      <c r="G20" s="43">
        <v>47269</v>
      </c>
      <c r="H20" s="43">
        <v>47654</v>
      </c>
      <c r="I20" s="43">
        <v>48011</v>
      </c>
      <c r="J20" s="43">
        <v>48361</v>
      </c>
      <c r="K20" s="43"/>
      <c r="M20" s="43"/>
      <c r="N20"/>
      <c r="T20"/>
      <c r="U20"/>
    </row>
    <row r="21" spans="1:25" s="4" customFormat="1" x14ac:dyDescent="0.25">
      <c r="A21" t="s">
        <v>73</v>
      </c>
      <c r="B21" s="10" t="s">
        <v>36</v>
      </c>
      <c r="C21" s="43">
        <f>DATE(tblFeiertage[[#Headers],[2025]], 8, 8)</f>
        <v>45877</v>
      </c>
      <c r="D21" s="43">
        <f>DATE(tblFeiertage[[#Headers],[2026]], 8, 8)</f>
        <v>46242</v>
      </c>
      <c r="E21" s="43">
        <f>DATE(tblFeiertage[[#Headers],[2027]], 8, 8)</f>
        <v>46607</v>
      </c>
      <c r="F21" s="43">
        <f>DATE(tblFeiertage[[#Headers],[2028]], 8, 8)</f>
        <v>46973</v>
      </c>
      <c r="G21" s="43">
        <f>DATE(tblFeiertage[[#Headers],[2029]], 8, 8)</f>
        <v>47338</v>
      </c>
      <c r="H21" s="43">
        <f>DATE(tblFeiertage[[#Headers],[2030]], 8, 8)</f>
        <v>47703</v>
      </c>
      <c r="I21" s="43">
        <f>DATE(tblFeiertage[[#Headers],[2031]], 8, 8)</f>
        <v>48068</v>
      </c>
      <c r="J21" s="43">
        <f>DATE(tblFeiertage[[#Headers],[2032]], 8, 8)</f>
        <v>48434</v>
      </c>
      <c r="K21" s="43"/>
      <c r="M21" s="43"/>
      <c r="N21"/>
      <c r="O21" s="44" t="s">
        <v>15</v>
      </c>
      <c r="T21"/>
      <c r="U21"/>
    </row>
    <row r="22" spans="1:25" s="4" customFormat="1" x14ac:dyDescent="0.25">
      <c r="A22" t="s">
        <v>74</v>
      </c>
      <c r="B22" s="10" t="s">
        <v>36</v>
      </c>
      <c r="C22" s="43">
        <f>DATE(tblFeiertage[[#Headers],[2025]], 8, 15)</f>
        <v>45884</v>
      </c>
      <c r="D22" s="43">
        <f>DATE(tblFeiertage[[#Headers],[2026]], 8, 15)</f>
        <v>46249</v>
      </c>
      <c r="E22" s="43">
        <f>DATE(tblFeiertage[[#Headers],[2027]], 8, 15)</f>
        <v>46614</v>
      </c>
      <c r="F22" s="43">
        <f>DATE(tblFeiertage[[#Headers],[2028]], 8, 15)</f>
        <v>46980</v>
      </c>
      <c r="G22" s="43">
        <f>DATE(tblFeiertage[[#Headers],[2029]], 8, 15)</f>
        <v>47345</v>
      </c>
      <c r="H22" s="43">
        <f>DATE(tblFeiertage[[#Headers],[2030]], 8, 15)</f>
        <v>47710</v>
      </c>
      <c r="I22" s="43">
        <f>DATE(tblFeiertage[[#Headers],[2031]], 8, 15)</f>
        <v>48075</v>
      </c>
      <c r="J22" s="43">
        <f>DATE(tblFeiertage[[#Headers],[2032]], 8, 15)</f>
        <v>48441</v>
      </c>
      <c r="K22" s="43"/>
      <c r="L22" s="43"/>
      <c r="M22" s="43"/>
      <c r="N22"/>
      <c r="O22" s="4" t="str" cm="1">
        <f t="array" ref="O22:O25">_xlfn._xlws.SORT(_xlfn._xlws.FILTER(tblVBNames[Mitarbeiter],tblVBNames[Aktiv]),1)</f>
        <v>Lehrmann, Marcel</v>
      </c>
      <c r="T22"/>
      <c r="U22"/>
    </row>
    <row r="23" spans="1:25" s="4" customFormat="1" x14ac:dyDescent="0.25">
      <c r="A23" t="s">
        <v>74</v>
      </c>
      <c r="B23" s="10" t="s">
        <v>63</v>
      </c>
      <c r="C23" s="43">
        <f>DATE(tblFeiertage[[#Headers],[2025]], 8, 15)</f>
        <v>45884</v>
      </c>
      <c r="D23" s="43">
        <f>DATE(tblFeiertage[[#Headers],[2026]], 8, 15)</f>
        <v>46249</v>
      </c>
      <c r="E23" s="43">
        <f>DATE(tblFeiertage[[#Headers],[2027]], 8, 15)</f>
        <v>46614</v>
      </c>
      <c r="F23" s="43">
        <f>DATE(tblFeiertage[[#Headers],[2028]], 8, 15)</f>
        <v>46980</v>
      </c>
      <c r="G23" s="43">
        <f>DATE(tblFeiertage[[#Headers],[2029]], 8, 15)</f>
        <v>47345</v>
      </c>
      <c r="H23" s="43">
        <f>DATE(tblFeiertage[[#Headers],[2030]], 8, 15)</f>
        <v>47710</v>
      </c>
      <c r="I23" s="43">
        <f>DATE(tblFeiertage[[#Headers],[2031]], 8, 15)</f>
        <v>48075</v>
      </c>
      <c r="J23" s="43">
        <f>DATE(tblFeiertage[[#Headers],[2032]], 8, 15)</f>
        <v>48441</v>
      </c>
      <c r="K23" s="43"/>
      <c r="L23" s="43"/>
      <c r="M23" s="43"/>
      <c r="N23"/>
      <c r="O23" t="str">
        <v>Plottek, André</v>
      </c>
      <c r="T23"/>
      <c r="U23"/>
    </row>
    <row r="24" spans="1:25" s="4" customFormat="1" x14ac:dyDescent="0.25">
      <c r="A24" t="s">
        <v>75</v>
      </c>
      <c r="B24" s="10" t="s">
        <v>72</v>
      </c>
      <c r="C24" s="43">
        <f>DATE(tblFeiertage[[#Headers],[2025]], 9, 20)</f>
        <v>45920</v>
      </c>
      <c r="D24" s="43">
        <f>DATE(tblFeiertage[[#Headers],[2026]], 9, 20)</f>
        <v>46285</v>
      </c>
      <c r="E24" s="43">
        <f>DATE(tblFeiertage[[#Headers],[2027]], 9, 20)</f>
        <v>46650</v>
      </c>
      <c r="F24" s="43">
        <f>DATE(tblFeiertage[[#Headers],[2028]], 9, 20)</f>
        <v>47016</v>
      </c>
      <c r="G24" s="43">
        <f>DATE(tblFeiertage[[#Headers],[2029]], 9, 20)</f>
        <v>47381</v>
      </c>
      <c r="H24" s="43">
        <f>DATE(tblFeiertage[[#Headers],[2030]], 9, 20)</f>
        <v>47746</v>
      </c>
      <c r="I24" s="43">
        <f>DATE(tblFeiertage[[#Headers],[2031]], 9, 20)</f>
        <v>48111</v>
      </c>
      <c r="J24" s="43">
        <f>DATE(tblFeiertage[[#Headers],[2032]], 9, 20)</f>
        <v>48477</v>
      </c>
      <c r="K24" s="43"/>
      <c r="L24" s="43"/>
      <c r="M24" s="43"/>
      <c r="N24"/>
      <c r="O24" t="str">
        <v>Schweitzer, Sven</v>
      </c>
      <c r="P24"/>
      <c r="Q24"/>
      <c r="T24"/>
      <c r="U24"/>
      <c r="Y24"/>
    </row>
    <row r="25" spans="1:25" x14ac:dyDescent="0.25">
      <c r="A25" t="s">
        <v>47</v>
      </c>
      <c r="B25" s="7" t="s">
        <v>29</v>
      </c>
      <c r="C25" s="43">
        <f>DATE(tblFeiertage[[#Headers],[2025]],10,3)</f>
        <v>45933</v>
      </c>
      <c r="D25" s="43">
        <f>DATE(tblFeiertage[[#Headers],[2026]],10,3)</f>
        <v>46298</v>
      </c>
      <c r="E25" s="43">
        <f>DATE(tblFeiertage[[#Headers],[2027]],10,3)</f>
        <v>46663</v>
      </c>
      <c r="F25" s="43">
        <f>DATE(tblFeiertage[[#Headers],[2028]],10,3)</f>
        <v>47029</v>
      </c>
      <c r="G25" s="43">
        <f>DATE(tblFeiertage[[#Headers],[2029]],10,3)</f>
        <v>47394</v>
      </c>
      <c r="H25" s="43">
        <f>DATE(tblFeiertage[[#Headers],[2030]],10,3)</f>
        <v>47759</v>
      </c>
      <c r="I25" s="43">
        <f>DATE(tblFeiertage[[#Headers],[2031]],10,3)</f>
        <v>48124</v>
      </c>
      <c r="J25" s="43">
        <f>DATE(tblFeiertage[[#Headers],[2032]],10,3)</f>
        <v>48490</v>
      </c>
      <c r="K25" s="43"/>
      <c r="L25" s="43"/>
      <c r="M25" s="43"/>
      <c r="O25" t="str">
        <v>Weber, Joelle</v>
      </c>
      <c r="W25" s="4"/>
      <c r="X25" s="4"/>
    </row>
    <row r="26" spans="1:25" x14ac:dyDescent="0.25">
      <c r="A26" t="s">
        <v>76</v>
      </c>
      <c r="B26" s="10" t="s">
        <v>42</v>
      </c>
      <c r="C26" s="43">
        <f>DATE(tblFeiertage[[#Headers],[2025]], 10,31)</f>
        <v>45961</v>
      </c>
      <c r="D26" s="43">
        <f>DATE(tblFeiertage[[#Headers],[2026]], 10,31)</f>
        <v>46326</v>
      </c>
      <c r="E26" s="43">
        <f>DATE(tblFeiertage[[#Headers],[2027]], 10,31)</f>
        <v>46691</v>
      </c>
      <c r="F26" s="43">
        <f>DATE(tblFeiertage[[#Headers],[2028]], 10,31)</f>
        <v>47057</v>
      </c>
      <c r="G26" s="43">
        <f>DATE(tblFeiertage[[#Headers],[2029]], 10,31)</f>
        <v>47422</v>
      </c>
      <c r="H26" s="43">
        <f>DATE(tblFeiertage[[#Headers],[2030]], 10,31)</f>
        <v>47787</v>
      </c>
      <c r="I26" s="43">
        <f>DATE(tblFeiertage[[#Headers],[2031]], 10,31)</f>
        <v>48152</v>
      </c>
      <c r="J26" s="43">
        <f>DATE(tblFeiertage[[#Headers],[2032]], 10,31)</f>
        <v>48518</v>
      </c>
      <c r="K26" s="43"/>
      <c r="L26" s="43"/>
      <c r="M26" s="43"/>
      <c r="W26" s="4"/>
      <c r="X26" s="4"/>
    </row>
    <row r="27" spans="1:25" x14ac:dyDescent="0.25">
      <c r="A27" t="s">
        <v>76</v>
      </c>
      <c r="B27" s="10" t="s">
        <v>44</v>
      </c>
      <c r="C27" s="43">
        <f>DATE(tblFeiertage[[#Headers],[2025]], 10,31)</f>
        <v>45961</v>
      </c>
      <c r="D27" s="43">
        <f>DATE(tblFeiertage[[#Headers],[2026]], 10,31)</f>
        <v>46326</v>
      </c>
      <c r="E27" s="43">
        <f>DATE(tblFeiertage[[#Headers],[2027]], 10,31)</f>
        <v>46691</v>
      </c>
      <c r="F27" s="43">
        <f>DATE(tblFeiertage[[#Headers],[2028]], 10,31)</f>
        <v>47057</v>
      </c>
      <c r="G27" s="43">
        <f>DATE(tblFeiertage[[#Headers],[2029]], 10,31)</f>
        <v>47422</v>
      </c>
      <c r="H27" s="43">
        <f>DATE(tblFeiertage[[#Headers],[2030]], 10,31)</f>
        <v>47787</v>
      </c>
      <c r="I27" s="43">
        <f>DATE(tblFeiertage[[#Headers],[2031]], 10,31)</f>
        <v>48152</v>
      </c>
      <c r="J27" s="43">
        <f>DATE(tblFeiertage[[#Headers],[2032]], 10,31)</f>
        <v>48518</v>
      </c>
      <c r="K27" s="43"/>
      <c r="L27" s="43"/>
      <c r="M27" s="43"/>
      <c r="W27" s="4"/>
      <c r="X27" s="4"/>
    </row>
    <row r="28" spans="1:25" x14ac:dyDescent="0.25">
      <c r="A28" t="s">
        <v>76</v>
      </c>
      <c r="B28" s="10" t="s">
        <v>46</v>
      </c>
      <c r="C28" s="43">
        <f>DATE(tblFeiertage[[#Headers],[2025]], 10,31)</f>
        <v>45961</v>
      </c>
      <c r="D28" s="43">
        <f>DATE(tblFeiertage[[#Headers],[2026]], 10,31)</f>
        <v>46326</v>
      </c>
      <c r="E28" s="43">
        <f>DATE(tblFeiertage[[#Headers],[2027]], 10,31)</f>
        <v>46691</v>
      </c>
      <c r="F28" s="43">
        <f>DATE(tblFeiertage[[#Headers],[2028]], 10,31)</f>
        <v>47057</v>
      </c>
      <c r="G28" s="43">
        <f>DATE(tblFeiertage[[#Headers],[2029]], 10,31)</f>
        <v>47422</v>
      </c>
      <c r="H28" s="43">
        <f>DATE(tblFeiertage[[#Headers],[2030]], 10,31)</f>
        <v>47787</v>
      </c>
      <c r="I28" s="43">
        <f>DATE(tblFeiertage[[#Headers],[2031]], 10,31)</f>
        <v>48152</v>
      </c>
      <c r="J28" s="43">
        <f>DATE(tblFeiertage[[#Headers],[2032]], 10,31)</f>
        <v>48518</v>
      </c>
      <c r="K28" s="43"/>
      <c r="L28" s="43"/>
      <c r="M28" s="43"/>
      <c r="X28" s="4"/>
    </row>
    <row r="29" spans="1:25" x14ac:dyDescent="0.25">
      <c r="A29" t="s">
        <v>76</v>
      </c>
      <c r="B29" s="10" t="s">
        <v>52</v>
      </c>
      <c r="C29" s="43">
        <f>DATE(tblFeiertage[[#Headers],[2025]], 10,31)</f>
        <v>45961</v>
      </c>
      <c r="D29" s="43">
        <f>DATE(tblFeiertage[[#Headers],[2026]], 10,31)</f>
        <v>46326</v>
      </c>
      <c r="E29" s="43">
        <f>DATE(tblFeiertage[[#Headers],[2027]], 10,31)</f>
        <v>46691</v>
      </c>
      <c r="F29" s="43">
        <f>DATE(tblFeiertage[[#Headers],[2028]], 10,31)</f>
        <v>47057</v>
      </c>
      <c r="G29" s="43">
        <f>DATE(tblFeiertage[[#Headers],[2029]], 10,31)</f>
        <v>47422</v>
      </c>
      <c r="H29" s="43">
        <f>DATE(tblFeiertage[[#Headers],[2030]], 10,31)</f>
        <v>47787</v>
      </c>
      <c r="I29" s="43">
        <f>DATE(tblFeiertage[[#Headers],[2031]], 10,31)</f>
        <v>48152</v>
      </c>
      <c r="J29" s="43">
        <f>DATE(tblFeiertage[[#Headers],[2032]], 10,31)</f>
        <v>48518</v>
      </c>
      <c r="K29" s="43"/>
      <c r="L29" s="43"/>
      <c r="M29" s="43"/>
    </row>
    <row r="30" spans="1:25" x14ac:dyDescent="0.25">
      <c r="A30" t="s">
        <v>76</v>
      </c>
      <c r="B30" s="10" t="s">
        <v>55</v>
      </c>
      <c r="C30" s="43">
        <f>DATE(tblFeiertage[[#Headers],[2025]], 10,31)</f>
        <v>45961</v>
      </c>
      <c r="D30" s="43">
        <f>DATE(tblFeiertage[[#Headers],[2026]], 10,31)</f>
        <v>46326</v>
      </c>
      <c r="E30" s="43">
        <f>DATE(tblFeiertage[[#Headers],[2027]], 10,31)</f>
        <v>46691</v>
      </c>
      <c r="F30" s="43">
        <f>DATE(tblFeiertage[[#Headers],[2028]], 10,31)</f>
        <v>47057</v>
      </c>
      <c r="G30" s="43">
        <f>DATE(tblFeiertage[[#Headers],[2029]], 10,31)</f>
        <v>47422</v>
      </c>
      <c r="H30" s="43">
        <f>DATE(tblFeiertage[[#Headers],[2030]], 10,31)</f>
        <v>47787</v>
      </c>
      <c r="I30" s="43">
        <f>DATE(tblFeiertage[[#Headers],[2031]], 10,31)</f>
        <v>48152</v>
      </c>
      <c r="J30" s="43">
        <f>DATE(tblFeiertage[[#Headers],[2032]], 10,31)</f>
        <v>48518</v>
      </c>
      <c r="K30" s="43"/>
      <c r="L30" s="43"/>
      <c r="M30" s="43"/>
    </row>
    <row r="31" spans="1:25" x14ac:dyDescent="0.25">
      <c r="A31" t="s">
        <v>76</v>
      </c>
      <c r="B31" s="10" t="s">
        <v>70</v>
      </c>
      <c r="C31" s="43">
        <f>DATE(tblFeiertage[[#Headers],[2025]], 10,31)</f>
        <v>45961</v>
      </c>
      <c r="D31" s="43">
        <f>DATE(tblFeiertage[[#Headers],[2026]], 10,31)</f>
        <v>46326</v>
      </c>
      <c r="E31" s="43">
        <f>DATE(tblFeiertage[[#Headers],[2027]], 10,31)</f>
        <v>46691</v>
      </c>
      <c r="F31" s="43">
        <f>DATE(tblFeiertage[[#Headers],[2028]], 10,31)</f>
        <v>47057</v>
      </c>
      <c r="G31" s="43">
        <f>DATE(tblFeiertage[[#Headers],[2029]], 10,31)</f>
        <v>47422</v>
      </c>
      <c r="H31" s="43">
        <f>DATE(tblFeiertage[[#Headers],[2030]], 10,31)</f>
        <v>47787</v>
      </c>
      <c r="I31" s="43">
        <f>DATE(tblFeiertage[[#Headers],[2031]], 10,31)</f>
        <v>48152</v>
      </c>
      <c r="J31" s="43">
        <f>DATE(tblFeiertage[[#Headers],[2032]], 10,31)</f>
        <v>48518</v>
      </c>
      <c r="K31" s="43"/>
      <c r="L31" s="43"/>
      <c r="M31" s="43"/>
    </row>
    <row r="32" spans="1:25" x14ac:dyDescent="0.25">
      <c r="A32" t="s">
        <v>76</v>
      </c>
      <c r="B32" s="10" t="s">
        <v>66</v>
      </c>
      <c r="C32" s="43">
        <f>DATE(tblFeiertage[[#Headers],[2025]], 10,31)</f>
        <v>45961</v>
      </c>
      <c r="D32" s="43">
        <f>DATE(tblFeiertage[[#Headers],[2026]], 10,31)</f>
        <v>46326</v>
      </c>
      <c r="E32" s="43">
        <f>DATE(tblFeiertage[[#Headers],[2027]], 10,31)</f>
        <v>46691</v>
      </c>
      <c r="F32" s="43">
        <f>DATE(tblFeiertage[[#Headers],[2028]], 10,31)</f>
        <v>47057</v>
      </c>
      <c r="G32" s="43">
        <f>DATE(tblFeiertage[[#Headers],[2029]], 10,31)</f>
        <v>47422</v>
      </c>
      <c r="H32" s="43">
        <f>DATE(tblFeiertage[[#Headers],[2030]], 10,31)</f>
        <v>47787</v>
      </c>
      <c r="I32" s="43">
        <f>DATE(tblFeiertage[[#Headers],[2031]], 10,31)</f>
        <v>48152</v>
      </c>
      <c r="J32" s="43">
        <f>DATE(tblFeiertage[[#Headers],[2032]], 10,31)</f>
        <v>48518</v>
      </c>
      <c r="K32" s="43"/>
      <c r="L32" s="43"/>
      <c r="M32" s="43"/>
    </row>
    <row r="33" spans="1:13" x14ac:dyDescent="0.25">
      <c r="A33" t="s">
        <v>76</v>
      </c>
      <c r="B33" s="10" t="s">
        <v>61</v>
      </c>
      <c r="C33" s="43">
        <f>DATE(tblFeiertage[[#Headers],[2025]], 10,31)</f>
        <v>45961</v>
      </c>
      <c r="D33" s="43">
        <f>DATE(tblFeiertage[[#Headers],[2026]], 10,31)</f>
        <v>46326</v>
      </c>
      <c r="E33" s="43">
        <f>DATE(tblFeiertage[[#Headers],[2027]], 10,31)</f>
        <v>46691</v>
      </c>
      <c r="F33" s="43">
        <f>DATE(tblFeiertage[[#Headers],[2028]], 10,31)</f>
        <v>47057</v>
      </c>
      <c r="G33" s="43">
        <f>DATE(tblFeiertage[[#Headers],[2029]], 10,31)</f>
        <v>47422</v>
      </c>
      <c r="H33" s="43">
        <f>DATE(tblFeiertage[[#Headers],[2030]], 10,31)</f>
        <v>47787</v>
      </c>
      <c r="I33" s="43">
        <f>DATE(tblFeiertage[[#Headers],[2031]], 10,31)</f>
        <v>48152</v>
      </c>
      <c r="J33" s="43">
        <f>DATE(tblFeiertage[[#Headers],[2032]], 10,31)</f>
        <v>48518</v>
      </c>
      <c r="K33" s="43"/>
      <c r="L33" s="43"/>
      <c r="M33" s="43"/>
    </row>
    <row r="34" spans="1:13" x14ac:dyDescent="0.25">
      <c r="A34" t="s">
        <v>76</v>
      </c>
      <c r="B34" s="10" t="s">
        <v>72</v>
      </c>
      <c r="C34" s="43">
        <f>DATE(tblFeiertage[[#Headers],[2025]], 10,31)</f>
        <v>45961</v>
      </c>
      <c r="D34" s="43">
        <f>DATE(tblFeiertage[[#Headers],[2026]], 10,31)</f>
        <v>46326</v>
      </c>
      <c r="E34" s="43">
        <f>DATE(tblFeiertage[[#Headers],[2027]], 10,31)</f>
        <v>46691</v>
      </c>
      <c r="F34" s="43">
        <f>DATE(tblFeiertage[[#Headers],[2028]], 10,31)</f>
        <v>47057</v>
      </c>
      <c r="G34" s="43">
        <f>DATE(tblFeiertage[[#Headers],[2029]], 10,31)</f>
        <v>47422</v>
      </c>
      <c r="H34" s="43">
        <f>DATE(tblFeiertage[[#Headers],[2030]], 10,31)</f>
        <v>47787</v>
      </c>
      <c r="I34" s="43">
        <f>DATE(tblFeiertage[[#Headers],[2031]], 10,31)</f>
        <v>48152</v>
      </c>
      <c r="J34" s="43">
        <f>DATE(tblFeiertage[[#Headers],[2032]], 10,31)</f>
        <v>48518</v>
      </c>
      <c r="K34" s="43"/>
      <c r="L34" s="43"/>
      <c r="M34" s="43"/>
    </row>
    <row r="35" spans="1:13" x14ac:dyDescent="0.25">
      <c r="A35" t="s">
        <v>77</v>
      </c>
      <c r="B35" s="10" t="s">
        <v>33</v>
      </c>
      <c r="C35" s="43">
        <f>DATE(tblFeiertage[[#Headers],[2025]], 11,1)</f>
        <v>45962</v>
      </c>
      <c r="D35" s="43">
        <f>DATE(tblFeiertage[[#Headers],[2026]], 11,1)</f>
        <v>46327</v>
      </c>
      <c r="E35" s="43">
        <f>DATE(tblFeiertage[[#Headers],[2027]], 11,1)</f>
        <v>46692</v>
      </c>
      <c r="F35" s="43">
        <f>DATE(tblFeiertage[[#Headers],[2028]], 11,1)</f>
        <v>47058</v>
      </c>
      <c r="G35" s="43">
        <f>DATE(tblFeiertage[[#Headers],[2029]], 11,1)</f>
        <v>47423</v>
      </c>
      <c r="H35" s="43">
        <f>DATE(tblFeiertage[[#Headers],[2030]], 11,1)</f>
        <v>47788</v>
      </c>
      <c r="I35" s="43">
        <f>DATE(tblFeiertage[[#Headers],[2031]], 11,1)</f>
        <v>48153</v>
      </c>
      <c r="J35" s="43">
        <f>DATE(tblFeiertage[[#Headers],[2032]], 11,1)</f>
        <v>48519</v>
      </c>
      <c r="K35" s="43"/>
      <c r="L35" s="43"/>
      <c r="M35" s="43"/>
    </row>
    <row r="36" spans="1:13" x14ac:dyDescent="0.25">
      <c r="A36" t="s">
        <v>77</v>
      </c>
      <c r="B36" s="10" t="s">
        <v>36</v>
      </c>
      <c r="C36" s="43">
        <f>DATE(tblFeiertage[[#Headers],[2025]], 11,1)</f>
        <v>45962</v>
      </c>
      <c r="D36" s="43">
        <f>DATE(tblFeiertage[[#Headers],[2026]], 11,1)</f>
        <v>46327</v>
      </c>
      <c r="E36" s="43">
        <f>DATE(tblFeiertage[[#Headers],[2027]], 11,1)</f>
        <v>46692</v>
      </c>
      <c r="F36" s="43">
        <f>DATE(tblFeiertage[[#Headers],[2028]], 11,1)</f>
        <v>47058</v>
      </c>
      <c r="G36" s="43">
        <f>DATE(tblFeiertage[[#Headers],[2029]], 11,1)</f>
        <v>47423</v>
      </c>
      <c r="H36" s="43">
        <f>DATE(tblFeiertage[[#Headers],[2030]], 11,1)</f>
        <v>47788</v>
      </c>
      <c r="I36" s="43">
        <f>DATE(tblFeiertage[[#Headers],[2031]], 11,1)</f>
        <v>48153</v>
      </c>
      <c r="J36" s="43">
        <f>DATE(tblFeiertage[[#Headers],[2032]], 11,1)</f>
        <v>48519</v>
      </c>
      <c r="K36" s="43"/>
      <c r="L36" s="43"/>
      <c r="M36" s="43"/>
    </row>
    <row r="37" spans="1:13" x14ac:dyDescent="0.25">
      <c r="A37" t="s">
        <v>77</v>
      </c>
      <c r="B37" s="10" t="s">
        <v>58</v>
      </c>
      <c r="C37" s="43">
        <f>DATE(tblFeiertage[[#Headers],[2025]], 11,1)</f>
        <v>45962</v>
      </c>
      <c r="D37" s="43">
        <f>DATE(tblFeiertage[[#Headers],[2026]], 11,1)</f>
        <v>46327</v>
      </c>
      <c r="E37" s="43">
        <f>DATE(tblFeiertage[[#Headers],[2027]], 11,1)</f>
        <v>46692</v>
      </c>
      <c r="F37" s="43">
        <f>DATE(tblFeiertage[[#Headers],[2028]], 11,1)</f>
        <v>47058</v>
      </c>
      <c r="G37" s="43">
        <f>DATE(tblFeiertage[[#Headers],[2029]], 11,1)</f>
        <v>47423</v>
      </c>
      <c r="H37" s="43">
        <f>DATE(tblFeiertage[[#Headers],[2030]], 11,1)</f>
        <v>47788</v>
      </c>
      <c r="I37" s="43">
        <f>DATE(tblFeiertage[[#Headers],[2031]], 11,1)</f>
        <v>48153</v>
      </c>
      <c r="J37" s="43">
        <f>DATE(tblFeiertage[[#Headers],[2032]], 11,1)</f>
        <v>48519</v>
      </c>
      <c r="K37" s="43"/>
      <c r="L37" s="43"/>
      <c r="M37" s="43"/>
    </row>
    <row r="38" spans="1:13" x14ac:dyDescent="0.25">
      <c r="A38" t="s">
        <v>77</v>
      </c>
      <c r="B38" s="10" t="s">
        <v>60</v>
      </c>
      <c r="C38" s="43">
        <f>DATE(tblFeiertage[[#Headers],[2025]], 11,1)</f>
        <v>45962</v>
      </c>
      <c r="D38" s="43">
        <f>DATE(tblFeiertage[[#Headers],[2026]], 11,1)</f>
        <v>46327</v>
      </c>
      <c r="E38" s="43">
        <f>DATE(tblFeiertage[[#Headers],[2027]], 11,1)</f>
        <v>46692</v>
      </c>
      <c r="F38" s="43">
        <f>DATE(tblFeiertage[[#Headers],[2028]], 11,1)</f>
        <v>47058</v>
      </c>
      <c r="G38" s="43">
        <f>DATE(tblFeiertage[[#Headers],[2029]], 11,1)</f>
        <v>47423</v>
      </c>
      <c r="H38" s="43">
        <f>DATE(tblFeiertage[[#Headers],[2030]], 11,1)</f>
        <v>47788</v>
      </c>
      <c r="I38" s="43">
        <f>DATE(tblFeiertage[[#Headers],[2031]], 11,1)</f>
        <v>48153</v>
      </c>
      <c r="J38" s="43">
        <f>DATE(tblFeiertage[[#Headers],[2032]], 11,1)</f>
        <v>48519</v>
      </c>
      <c r="K38" s="43"/>
      <c r="L38" s="43"/>
      <c r="M38" s="43"/>
    </row>
    <row r="39" spans="1:13" x14ac:dyDescent="0.25">
      <c r="A39" t="s">
        <v>77</v>
      </c>
      <c r="B39" s="10" t="s">
        <v>63</v>
      </c>
      <c r="C39" s="43">
        <f>DATE(tblFeiertage[[#Headers],[2025]], 11,1)</f>
        <v>45962</v>
      </c>
      <c r="D39" s="43">
        <f>DATE(tblFeiertage[[#Headers],[2026]], 11,1)</f>
        <v>46327</v>
      </c>
      <c r="E39" s="43">
        <f>DATE(tblFeiertage[[#Headers],[2027]], 11,1)</f>
        <v>46692</v>
      </c>
      <c r="F39" s="43">
        <f>DATE(tblFeiertage[[#Headers],[2028]], 11,1)</f>
        <v>47058</v>
      </c>
      <c r="G39" s="43">
        <f>DATE(tblFeiertage[[#Headers],[2029]], 11,1)</f>
        <v>47423</v>
      </c>
      <c r="H39" s="43">
        <f>DATE(tblFeiertage[[#Headers],[2030]], 11,1)</f>
        <v>47788</v>
      </c>
      <c r="I39" s="43">
        <f>DATE(tblFeiertage[[#Headers],[2031]], 11,1)</f>
        <v>48153</v>
      </c>
      <c r="J39" s="43">
        <f>DATE(tblFeiertage[[#Headers],[2032]], 11,1)</f>
        <v>48519</v>
      </c>
      <c r="K39" s="43"/>
      <c r="L39" s="43"/>
      <c r="M39" s="43"/>
    </row>
    <row r="40" spans="1:13" x14ac:dyDescent="0.25">
      <c r="A40" t="s">
        <v>78</v>
      </c>
      <c r="B40" s="10" t="s">
        <v>66</v>
      </c>
      <c r="C40" s="43">
        <f>DATE(tblFeiertage[[#Headers],[2025]],12,25)-WEEKDAY(DATE(tblFeiertage[[#Headers],[2025]],12,25),2)-32</f>
        <v>45980</v>
      </c>
      <c r="D40" s="43">
        <f>DATE(tblFeiertage[[#Headers],[2026]],12,25)-WEEKDAY(DATE(tblFeiertage[[#Headers],[2026]],12,25),2)-32</f>
        <v>46344</v>
      </c>
      <c r="E40" s="43">
        <f>DATE(tblFeiertage[[#Headers],[2027]],12,25)-WEEKDAY(DATE(tblFeiertage[[#Headers],[2027]],12,25),2)-32</f>
        <v>46708</v>
      </c>
      <c r="F40" s="43">
        <f>DATE(tblFeiertage[[#Headers],[2028]],12,25)-WEEKDAY(DATE(tblFeiertage[[#Headers],[2028]],12,25),2)-32</f>
        <v>47079</v>
      </c>
      <c r="G40" s="43">
        <f>DATE(tblFeiertage[[#Headers],[2029]],12,25)-WEEKDAY(DATE(tblFeiertage[[#Headers],[2029]],12,25),2)-32</f>
        <v>47443</v>
      </c>
      <c r="H40" s="43">
        <f>DATE(tblFeiertage[[#Headers],[2030]],12,25)-WEEKDAY(DATE(tblFeiertage[[#Headers],[2030]],12,25),2)-32</f>
        <v>47807</v>
      </c>
      <c r="I40" s="43">
        <f>DATE(tblFeiertage[[#Headers],[2031]],12,25)-WEEKDAY(DATE(tblFeiertage[[#Headers],[2031]],12,25),2)-32</f>
        <v>48171</v>
      </c>
      <c r="J40" s="43">
        <f>DATE(tblFeiertage[[#Headers],[2032]],12,25)-WEEKDAY(DATE(tblFeiertage[[#Headers],[2032]],12,25),2)-32</f>
        <v>48535</v>
      </c>
      <c r="K40" s="43"/>
      <c r="L40" s="43"/>
      <c r="M40" s="43"/>
    </row>
    <row r="41" spans="1:13" x14ac:dyDescent="0.25">
      <c r="A41" t="s">
        <v>50</v>
      </c>
      <c r="B41" s="7" t="s">
        <v>29</v>
      </c>
      <c r="C41" s="43">
        <f>DATE(tblFeiertage[[#Headers],[2025]],12,25)</f>
        <v>46016</v>
      </c>
      <c r="D41" s="43">
        <f>DATE(tblFeiertage[[#Headers],[2026]],12,25)</f>
        <v>46381</v>
      </c>
      <c r="E41" s="43">
        <f>DATE(tblFeiertage[[#Headers],[2027]],12,25)</f>
        <v>46746</v>
      </c>
      <c r="F41" s="43">
        <f>DATE(tblFeiertage[[#Headers],[2028]],12,25)</f>
        <v>47112</v>
      </c>
      <c r="G41" s="43">
        <f>DATE(tblFeiertage[[#Headers],[2029]],12,25)</f>
        <v>47477</v>
      </c>
      <c r="H41" s="43">
        <f>DATE(tblFeiertage[[#Headers],[2030]],12,25)</f>
        <v>47842</v>
      </c>
      <c r="I41" s="43">
        <f>DATE(tblFeiertage[[#Headers],[2031]],12,25)</f>
        <v>48207</v>
      </c>
      <c r="J41" s="43">
        <f>DATE(tblFeiertage[[#Headers],[2032]],12,25)</f>
        <v>48573</v>
      </c>
      <c r="K41" s="43"/>
      <c r="L41" s="43"/>
      <c r="M41" s="43"/>
    </row>
    <row r="42" spans="1:13" x14ac:dyDescent="0.25">
      <c r="A42" t="s">
        <v>53</v>
      </c>
      <c r="B42" s="7" t="s">
        <v>29</v>
      </c>
      <c r="C42" s="43">
        <f>DATE(tblFeiertage[[#Headers],[2025]],12,26)</f>
        <v>46017</v>
      </c>
      <c r="D42" s="43">
        <f>DATE(tblFeiertage[[#Headers],[2026]],12,26)</f>
        <v>46382</v>
      </c>
      <c r="E42" s="43">
        <f>DATE(tblFeiertage[[#Headers],[2027]],12,26)</f>
        <v>46747</v>
      </c>
      <c r="F42" s="43">
        <f>DATE(tblFeiertage[[#Headers],[2028]],12,26)</f>
        <v>47113</v>
      </c>
      <c r="G42" s="43">
        <f>DATE(tblFeiertage[[#Headers],[2029]],12,26)</f>
        <v>47478</v>
      </c>
      <c r="H42" s="43">
        <f>DATE(tblFeiertage[[#Headers],[2030]],12,26)</f>
        <v>47843</v>
      </c>
      <c r="I42" s="43">
        <f>DATE(tblFeiertage[[#Headers],[2031]],12,26)</f>
        <v>48208</v>
      </c>
      <c r="J42" s="43">
        <f>DATE(tblFeiertage[[#Headers],[2032]],12,26)</f>
        <v>48574</v>
      </c>
      <c r="K42" s="43"/>
      <c r="L42" s="43"/>
      <c r="M42" s="43"/>
    </row>
  </sheetData>
  <phoneticPr fontId="15" type="noConversion"/>
  <dataValidations count="2">
    <dataValidation type="list" allowBlank="1" showInputMessage="1" showErrorMessage="1" sqref="B3:B42" xr:uid="{080298C7-0079-4715-8B6E-FF2AFC7E0AE5}">
      <formula1>Bundesländer</formula1>
    </dataValidation>
    <dataValidation type="list" allowBlank="1" showInputMessage="1" showErrorMessage="1" sqref="Q3:Q9" xr:uid="{BB6A664A-A707-4DA4-B42A-32D11590ED63}">
      <formula1>BundesLandKurz</formula1>
    </dataValidation>
  </dataValidations>
  <pageMargins left="0.7" right="0.7" top="0.78740157499999996" bottom="0.78740157499999996" header="0.3" footer="0.3"/>
  <tableParts count="6">
    <tablePart r:id="rId1"/>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CC96F-C139-4F02-8B35-D3A002B28BB7}">
  <sheetPr codeName="shDeveloper"/>
  <dimension ref="A1:F13"/>
  <sheetViews>
    <sheetView workbookViewId="0">
      <selection activeCell="F7" sqref="F7:F13"/>
    </sheetView>
  </sheetViews>
  <sheetFormatPr baseColWidth="10" defaultRowHeight="15" x14ac:dyDescent="0.25"/>
  <cols>
    <col min="1" max="1" width="19.75" bestFit="1" customWidth="1"/>
    <col min="2" max="2" width="18" customWidth="1"/>
    <col min="3" max="3" width="24.875" customWidth="1"/>
    <col min="4" max="4" width="29.25" customWidth="1"/>
    <col min="5" max="5" width="37.75" customWidth="1"/>
    <col min="6" max="6" width="57.125" customWidth="1"/>
  </cols>
  <sheetData>
    <row r="1" spans="1:6" ht="21" x14ac:dyDescent="0.25">
      <c r="A1" s="31" t="s">
        <v>100</v>
      </c>
      <c r="B1" s="32"/>
      <c r="C1" s="33"/>
      <c r="D1" s="32"/>
      <c r="E1" s="32"/>
      <c r="F1" s="32"/>
    </row>
    <row r="2" spans="1:6" x14ac:dyDescent="0.25">
      <c r="A2" s="34"/>
      <c r="B2" s="34"/>
      <c r="C2" s="34"/>
      <c r="D2" s="34"/>
      <c r="E2" s="34"/>
      <c r="F2" s="34"/>
    </row>
    <row r="3" spans="1:6" x14ac:dyDescent="0.25">
      <c r="A3" s="34" t="s">
        <v>101</v>
      </c>
      <c r="B3" s="35" t="s">
        <v>112</v>
      </c>
      <c r="C3" s="34"/>
      <c r="D3" s="34"/>
      <c r="E3" s="34"/>
      <c r="F3" s="34"/>
    </row>
    <row r="4" spans="1:6" x14ac:dyDescent="0.25">
      <c r="A4" s="34" t="s">
        <v>102</v>
      </c>
      <c r="B4" s="35" t="s">
        <v>103</v>
      </c>
      <c r="C4" s="34"/>
      <c r="D4" s="34"/>
      <c r="E4" s="34"/>
      <c r="F4" s="34"/>
    </row>
    <row r="5" spans="1:6" ht="30" x14ac:dyDescent="0.25">
      <c r="A5" s="36" t="s">
        <v>104</v>
      </c>
      <c r="B5" s="37" t="s">
        <v>105</v>
      </c>
      <c r="C5" s="34"/>
      <c r="D5" s="38"/>
      <c r="E5" s="39"/>
      <c r="F5" s="40"/>
    </row>
    <row r="6" spans="1:6" x14ac:dyDescent="0.25">
      <c r="A6" s="1" t="s">
        <v>106</v>
      </c>
      <c r="B6" s="1" t="s">
        <v>107</v>
      </c>
      <c r="C6" s="1" t="s">
        <v>108</v>
      </c>
      <c r="D6" s="1" t="s">
        <v>109</v>
      </c>
      <c r="E6" s="1" t="s">
        <v>110</v>
      </c>
      <c r="F6" s="1" t="s">
        <v>111</v>
      </c>
    </row>
    <row r="7" spans="1:6" x14ac:dyDescent="0.25">
      <c r="A7" s="1" t="s">
        <v>7</v>
      </c>
      <c r="C7" s="41" t="str">
        <f>_xlfn.REGEXREPLACE(tblDeveloper[[#This Row],[Headers]], "\W", "")</f>
        <v>Datum</v>
      </c>
      <c r="D7" s="42" t="str">
        <f>IF(DevEnumPrefix = "", "",DevEnumPrefix &amp; tblDeveloper[[#This Row],[VBA Names]] &amp; IF(ROW() = 7, " = 1", ""))</f>
        <v>xtrmDatum = 1</v>
      </c>
      <c r="E7" s="42" t="str">
        <f xml:space="preserve"> IF(ISBLANK(DevVarPrefix), "", DevVarPrefix &amp; " ") &amp; tblDeveloper[[#This Row],[VBA Names]] &amp; " As " &amp; IF(ISBLANK(tblDeveloper[[#This Row],[Types]]), "String", tblDeveloper[[#This Row],[Types]])</f>
        <v>Public Datum As String</v>
      </c>
      <c r="F7" s="42" t="str">
        <f>IF(ISBLANK(DevEnumPrefix), "", tblDeveloper[[#This Row],[VBA Names]] &amp; " = " &amp; "values(1, " &amp; DevEnumPrefix &amp; tblDeveloper[[#This Row],[VBA Names]] &amp; ")")</f>
        <v>Datum = values(1, xtrmDatum)</v>
      </c>
    </row>
    <row r="8" spans="1:6" x14ac:dyDescent="0.25">
      <c r="A8" s="1" t="s">
        <v>0</v>
      </c>
      <c r="C8" s="41" t="str">
        <f>_xlfn.REGEXREPLACE(tblDeveloper[[#This Row],[Headers]], "\W", "")</f>
        <v>Mitarbeiter</v>
      </c>
      <c r="D8" s="42" t="str">
        <f>IF(DevEnumPrefix = "", "",DevEnumPrefix &amp; tblDeveloper[[#This Row],[VBA Names]] &amp; IF(ROW() = 7, " = 1", ""))</f>
        <v>xtrmMitarbeiter</v>
      </c>
      <c r="E8" s="42" t="str">
        <f xml:space="preserve"> IF(ISBLANK(DevVarPrefix), "", DevVarPrefix &amp; " ") &amp; tblDeveloper[[#This Row],[VBA Names]] &amp; " As " &amp; IF(ISBLANK(tblDeveloper[[#This Row],[Types]]), "String", tblDeveloper[[#This Row],[Types]])</f>
        <v>Public Mitarbeiter As String</v>
      </c>
      <c r="F8" s="42" t="str">
        <f>IF(ISBLANK(DevEnumPrefix), "", tblDeveloper[[#This Row],[VBA Names]] &amp; " = " &amp; "values(1, " &amp; DevEnumPrefix &amp; tblDeveloper[[#This Row],[VBA Names]] &amp; ")")</f>
        <v>Mitarbeiter = values(1, xtrmMitarbeiter)</v>
      </c>
    </row>
    <row r="9" spans="1:6" x14ac:dyDescent="0.25">
      <c r="A9" s="1" t="s">
        <v>81</v>
      </c>
      <c r="C9" s="41" t="str">
        <f>_xlfn.REGEXREPLACE(tblDeveloper[[#This Row],[Headers]], "\W", "")</f>
        <v>Terminart</v>
      </c>
      <c r="D9" s="42" t="str">
        <f>IF(DevEnumPrefix = "", "",DevEnumPrefix &amp; tblDeveloper[[#This Row],[VBA Names]] &amp; IF(ROW() = 7, " = 1", ""))</f>
        <v>xtrmTerminart</v>
      </c>
      <c r="E9" s="42" t="str">
        <f xml:space="preserve"> IF(ISBLANK(DevVarPrefix), "", DevVarPrefix &amp; " ") &amp; tblDeveloper[[#This Row],[VBA Names]] &amp; " As " &amp; IF(ISBLANK(tblDeveloper[[#This Row],[Types]]), "String", tblDeveloper[[#This Row],[Types]])</f>
        <v>Public Terminart As String</v>
      </c>
      <c r="F9" s="42" t="str">
        <f>IF(ISBLANK(DevEnumPrefix), "", tblDeveloper[[#This Row],[VBA Names]] &amp; " = " &amp; "values(1, " &amp; DevEnumPrefix &amp; tblDeveloper[[#This Row],[VBA Names]] &amp; ")")</f>
        <v>Terminart = values(1, xtrmTerminart)</v>
      </c>
    </row>
    <row r="10" spans="1:6" x14ac:dyDescent="0.25">
      <c r="A10" s="1" t="s">
        <v>82</v>
      </c>
      <c r="C10" s="41" t="str">
        <f>_xlfn.REGEXREPLACE(tblDeveloper[[#This Row],[Headers]], "\W", "")</f>
        <v>Agent</v>
      </c>
      <c r="D10" s="42" t="str">
        <f>IF(DevEnumPrefix = "", "",DevEnumPrefix &amp; tblDeveloper[[#This Row],[VBA Names]] &amp; IF(ROW() = 7, " = 1", ""))</f>
        <v>xtrmAgent</v>
      </c>
      <c r="E10" s="42" t="str">
        <f xml:space="preserve"> IF(ISBLANK(DevVarPrefix), "", DevVarPrefix &amp; " ") &amp; tblDeveloper[[#This Row],[VBA Names]] &amp; " As " &amp; IF(ISBLANK(tblDeveloper[[#This Row],[Types]]), "String", tblDeveloper[[#This Row],[Types]])</f>
        <v>Public Agent As String</v>
      </c>
      <c r="F10" s="42" t="str">
        <f>IF(ISBLANK(DevEnumPrefix), "", tblDeveloper[[#This Row],[VBA Names]] &amp; " = " &amp; "values(1, " &amp; DevEnumPrefix &amp; tblDeveloper[[#This Row],[VBA Names]] &amp; ")")</f>
        <v>Agent = values(1, xtrmAgent)</v>
      </c>
    </row>
    <row r="11" spans="1:6" x14ac:dyDescent="0.25">
      <c r="A11" s="1" t="s">
        <v>84</v>
      </c>
      <c r="C11" s="41" t="str">
        <f>_xlfn.REGEXREPLACE(tblDeveloper[[#This Row],[Headers]], "\W", "")</f>
        <v>DisplayId</v>
      </c>
      <c r="D11" s="42" t="str">
        <f>IF(DevEnumPrefix = "", "",DevEnumPrefix &amp; tblDeveloper[[#This Row],[VBA Names]] &amp; IF(ROW() = 7, " = 1", ""))</f>
        <v>xtrmDisplayId</v>
      </c>
      <c r="E11" s="42" t="str">
        <f xml:space="preserve"> IF(ISBLANK(DevVarPrefix), "", DevVarPrefix &amp; " ") &amp; tblDeveloper[[#This Row],[VBA Names]] &amp; " As " &amp; IF(ISBLANK(tblDeveloper[[#This Row],[Types]]), "String", tblDeveloper[[#This Row],[Types]])</f>
        <v>Public DisplayId As String</v>
      </c>
      <c r="F11" s="42" t="str">
        <f>IF(ISBLANK(DevEnumPrefix), "", tblDeveloper[[#This Row],[VBA Names]] &amp; " = " &amp; "values(1, " &amp; DevEnumPrefix &amp; tblDeveloper[[#This Row],[VBA Names]] &amp; ")")</f>
        <v>DisplayId = values(1, xtrmDisplayId)</v>
      </c>
    </row>
    <row r="12" spans="1:6" x14ac:dyDescent="0.25">
      <c r="A12" s="1" t="s">
        <v>83</v>
      </c>
      <c r="C12" s="41" t="str">
        <f>_xlfn.REGEXREPLACE(tblDeveloper[[#This Row],[Headers]], "\W", "")</f>
        <v>Display</v>
      </c>
      <c r="D12" s="42" t="str">
        <f>IF(DevEnumPrefix = "", "",DevEnumPrefix &amp; tblDeveloper[[#This Row],[VBA Names]] &amp; IF(ROW() = 7, " = 1", ""))</f>
        <v>xtrmDisplay</v>
      </c>
      <c r="E12" s="42" t="str">
        <f xml:space="preserve"> IF(ISBLANK(DevVarPrefix), "", DevVarPrefix &amp; " ") &amp; tblDeveloper[[#This Row],[VBA Names]] &amp; " As " &amp; IF(ISBLANK(tblDeveloper[[#This Row],[Types]]), "String", tblDeveloper[[#This Row],[Types]])</f>
        <v>Public Display As String</v>
      </c>
      <c r="F12" s="42" t="str">
        <f>IF(ISBLANK(DevEnumPrefix), "", tblDeveloper[[#This Row],[VBA Names]] &amp; " = " &amp; "values(1, " &amp; DevEnumPrefix &amp; tblDeveloper[[#This Row],[VBA Names]] &amp; ")")</f>
        <v>Display = values(1, xtrmDisplay)</v>
      </c>
    </row>
    <row r="13" spans="1:6" x14ac:dyDescent="0.25">
      <c r="A13" s="1" t="s">
        <v>89</v>
      </c>
      <c r="C13" s="41" t="str">
        <f>_xlfn.REGEXREPLACE(tblDeveloper[[#This Row],[Headers]], "\W", "")</f>
        <v>SearchTerm</v>
      </c>
      <c r="D13" s="42" t="str">
        <f>IF(DevEnumPrefix = "", "",DevEnumPrefix &amp; tblDeveloper[[#This Row],[VBA Names]] &amp; IF(ROW() = 7, " = 1", ""))</f>
        <v>xtrmSearchTerm</v>
      </c>
      <c r="E13" s="42" t="str">
        <f xml:space="preserve"> IF(ISBLANK(DevVarPrefix), "", DevVarPrefix &amp; " ") &amp; tblDeveloper[[#This Row],[VBA Names]] &amp; " As " &amp; IF(ISBLANK(tblDeveloper[[#This Row],[Types]]), "String", tblDeveloper[[#This Row],[Types]])</f>
        <v>Public SearchTerm As String</v>
      </c>
      <c r="F13" s="42" t="str">
        <f>IF(ISBLANK(DevEnumPrefix), "", tblDeveloper[[#This Row],[VBA Names]] &amp; " = " &amp; "values(1, " &amp; DevEnumPrefix &amp; tblDeveloper[[#This Row],[VBA Names]] &amp; ")")</f>
        <v>SearchTerm = values(1, xtrmSearchTerm)</v>
      </c>
    </row>
  </sheetData>
  <phoneticPr fontId="15" type="noConversion"/>
  <dataValidations count="2">
    <dataValidation type="list" allowBlank="1" showInputMessage="1" showErrorMessage="1" sqref="B7:B13" xr:uid="{AF5F9E5B-8224-467D-AF02-E5B0C8297A40}">
      <formula1>"Date,Currency,Double,Long,Int"</formula1>
    </dataValidation>
    <dataValidation type="list" allowBlank="1" showInputMessage="1" showErrorMessage="1" sqref="B4" xr:uid="{74BAC7AD-E2A5-4273-8721-ACE231D50B21}">
      <formula1>"Public,Private"</formula1>
    </dataValidation>
  </dataValidations>
  <pageMargins left="0.7" right="0.7" top="0.78740157499999996" bottom="0.78740157499999996"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AFEJSONBlob>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1ef5d3b-d653-42a4-add8-264426d78878">
      <Terms xmlns="http://schemas.microsoft.com/office/infopath/2007/PartnerControls"/>
    </lcf76f155ced4ddcb4097134ff3c332f>
    <TaxCatchAll xmlns="c7246570-ebc5-4d46-bfb6-2bb15f49e60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CE022242B0FA754895983687E40C5944" ma:contentTypeVersion="12" ma:contentTypeDescription="Ein neues Dokument erstellen." ma:contentTypeScope="" ma:versionID="c709fd2c460d101a9894bfec1ffe17a8">
  <xsd:schema xmlns:xsd="http://www.w3.org/2001/XMLSchema" xmlns:xs="http://www.w3.org/2001/XMLSchema" xmlns:p="http://schemas.microsoft.com/office/2006/metadata/properties" xmlns:ns2="51ef5d3b-d653-42a4-add8-264426d78878" xmlns:ns3="c7246570-ebc5-4d46-bfb6-2bb15f49e607" targetNamespace="http://schemas.microsoft.com/office/2006/metadata/properties" ma:root="true" ma:fieldsID="3250aadd5a20346ab12418904b8498cf" ns2:_="" ns3:_="">
    <xsd:import namespace="51ef5d3b-d653-42a4-add8-264426d78878"/>
    <xsd:import namespace="c7246570-ebc5-4d46-bfb6-2bb15f49e607"/>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ef5d3b-d653-42a4-add8-264426d788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Bildmarkierungen" ma:readOnly="false" ma:fieldId="{5cf76f15-5ced-4ddc-b409-7134ff3c332f}" ma:taxonomyMulti="true" ma:sspId="7a838f58-fd73-42ff-b9ee-0ffd44b2bd0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246570-ebc5-4d46-bfb6-2bb15f49e607"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5afc808e-9239-488e-acde-ab6f06d36a05}" ma:internalName="TaxCatchAll" ma:showField="CatchAllData" ma:web="c7246570-ebc5-4d46-bfb6-2bb15f49e60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A60D933-98D7-429C-BDF0-C84E2D2C8C7A}">
  <ds:schemaRefs>
    <ds:schemaRef ds:uri="http://schemas.advancedformulaenvironment.officeapps.live.com/afejsonblob/1.0"/>
  </ds:schemaRefs>
</ds:datastoreItem>
</file>

<file path=customXml/itemProps2.xml><?xml version="1.0" encoding="utf-8"?>
<ds:datastoreItem xmlns:ds="http://schemas.openxmlformats.org/officeDocument/2006/customXml" ds:itemID="{03AFCC1F-3E83-42DC-B2B1-A1F3B6D9B6B2}">
  <ds:schemaRefs>
    <ds:schemaRef ds:uri="http://schemas.microsoft.com/office/2006/metadata/properties"/>
    <ds:schemaRef ds:uri="http://schemas.microsoft.com/office/infopath/2007/PartnerControls"/>
    <ds:schemaRef ds:uri="51ef5d3b-d653-42a4-add8-264426d78878"/>
    <ds:schemaRef ds:uri="c7246570-ebc5-4d46-bfb6-2bb15f49e607"/>
  </ds:schemaRefs>
</ds:datastoreItem>
</file>

<file path=customXml/itemProps3.xml><?xml version="1.0" encoding="utf-8"?>
<ds:datastoreItem xmlns:ds="http://schemas.openxmlformats.org/officeDocument/2006/customXml" ds:itemID="{81839D62-624D-40B4-BF52-185460A29D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1ef5d3b-d653-42a4-add8-264426d78878"/>
    <ds:schemaRef ds:uri="c7246570-ebc5-4d46-bfb6-2bb15f49e6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B250032-E54A-4E3A-AF55-8FAD36FF88E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10</vt:i4>
      </vt:variant>
    </vt:vector>
  </HeadingPairs>
  <TitlesOfParts>
    <vt:vector size="14" baseType="lpstr">
      <vt:lpstr>Übersicht</vt:lpstr>
      <vt:lpstr>Termine</vt:lpstr>
      <vt:lpstr>Angebote</vt:lpstr>
      <vt:lpstr>Einstellungen</vt:lpstr>
      <vt:lpstr>AngebotArt</vt:lpstr>
      <vt:lpstr>BundesLandKurz</vt:lpstr>
      <vt:lpstr>DevEnumPrefix</vt:lpstr>
      <vt:lpstr>DevVarPrefix</vt:lpstr>
      <vt:lpstr>Übersicht!Druckbereich</vt:lpstr>
      <vt:lpstr>Einstellungen!Jahr</vt:lpstr>
      <vt:lpstr>SelectedMitarbeiter</vt:lpstr>
      <vt:lpstr>TerminArten</vt:lpstr>
      <vt:lpstr>TerminMitarbeiter</vt:lpstr>
      <vt:lpstr>TerminStichtag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Joachim Meyer</dc:creator>
  <cp:keywords/>
  <dc:description/>
  <cp:lastModifiedBy>Joachim Meyer</cp:lastModifiedBy>
  <cp:revision/>
  <cp:lastPrinted>2026-04-26T15:20:31Z</cp:lastPrinted>
  <dcterms:created xsi:type="dcterms:W3CDTF">2026-01-23T18:38:40Z</dcterms:created>
  <dcterms:modified xsi:type="dcterms:W3CDTF">2026-04-28T13:49:35Z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0x010100CE022242B0FA754895983687E40C5944</vt:lpwstr>
  </property>
  <property fmtid="{D5CDD505-2E9C-101B-9397-08002B2CF9AE}" pid="3" name="MediaServiceImageTags">
    <vt:lpwstr/>
  </property>
</Properties>
</file>