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6FFC1B52-14C2-44A8-B9F0-B7E66FC475B3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  <sheet name="User" sheetId="3" state="hidden" r:id="rId2"/>
    <sheet name="Developer" sheetId="2" state="veryHidden" r:id="rId3"/>
  </sheets>
  <functionGroups builtInGroupCount="19"/>
  <definedNames>
    <definedName name="DevEnumPrefix">Developer!$B$3</definedName>
    <definedName name="DevVarPrefix">Developer!$B$4</definedName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6" i="1" l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C10" i="3"/>
  <c r="C9" i="3"/>
  <c r="C8" i="3"/>
  <c r="C8" i="2"/>
  <c r="F8" i="2" s="1"/>
  <c r="C9" i="2"/>
  <c r="F9" i="2" s="1"/>
  <c r="C10" i="2"/>
  <c r="D10" i="2" s="1"/>
  <c r="D8" i="2"/>
  <c r="E8" i="2"/>
  <c r="E10" i="2"/>
  <c r="F10" i="2"/>
  <c r="C7" i="3"/>
  <c r="C6" i="3"/>
  <c r="C5" i="3"/>
  <c r="C4" i="3"/>
  <c r="C3" i="3"/>
  <c r="E9" i="2" l="1"/>
  <c r="D9" i="2"/>
  <c r="C7" i="2" l="1"/>
  <c r="F7" i="2" s="1"/>
  <c r="D7" i="2" l="1"/>
  <c r="E7" i="2"/>
  <c r="D3" i="1"/>
</calcChain>
</file>

<file path=xl/sharedStrings.xml><?xml version="1.0" encoding="utf-8"?>
<sst xmlns="http://schemas.openxmlformats.org/spreadsheetml/2006/main" count="111" uniqueCount="105">
  <si>
    <t>Karteikarte</t>
  </si>
  <si>
    <t>Größe</t>
  </si>
  <si>
    <t>Datum</t>
  </si>
  <si>
    <t>Link</t>
  </si>
  <si>
    <t>Karteikarten</t>
  </si>
  <si>
    <t>Verzeichnis unter …\Kartei\Kunden: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</si>
  <si>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</si>
  <si>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</si>
  <si>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</si>
  <si>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</si>
  <si>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</si>
  <si>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</si>
  <si>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</si>
  <si>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Types</t>
  </si>
  <si>
    <t>VBA Names</t>
  </si>
  <si>
    <t>Class Enums</t>
  </si>
  <si>
    <t>Var-Declarations</t>
  </si>
  <si>
    <t>Assignments</t>
  </si>
  <si>
    <t>Fullname</t>
  </si>
  <si>
    <t>C</t>
  </si>
  <si>
    <t>Karteikarte-C-deg .xlsx</t>
  </si>
  <si>
    <t>C:\Users\JoachimMeyer\TalkServ GmbH\Verwaltung - General\Kartei\Kunden\C\C-deg\Karteikarte-C-deg .xlsx</t>
  </si>
  <si>
    <t>Karteikarte-CCC_Berlin.xlsx</t>
  </si>
  <si>
    <t>C:\Users\JoachimMeyer\TalkServ GmbH\Verwaltung - General\Kartei\Kunden\C\CCC\Karteikarte-CCC_Berlin.xlsx</t>
  </si>
  <si>
    <t>Karteikarte-CCC_Bremen.xlsx</t>
  </si>
  <si>
    <t>C:\Users\JoachimMeyer\TalkServ GmbH\Verwaltung - General\Kartei\Kunden\C\CCC\Karteikarte-CCC_Bremen.xlsx</t>
  </si>
  <si>
    <t>Karteikarte-CCC_Factoring.xlsx</t>
  </si>
  <si>
    <t>C:\Users\JoachimMeyer\TalkServ GmbH\Verwaltung - General\Kartei\Kunden\C\CCC\Karteikarte-CCC_Factoring.xlsx</t>
  </si>
  <si>
    <t>Karteikarte-CCC_Hamburg.xlsx</t>
  </si>
  <si>
    <t>C:\Users\JoachimMeyer\TalkServ GmbH\Verwaltung - General\Kartei\Kunden\C\CCC\Karteikarte-CCC_Hamburg.xlsx</t>
  </si>
  <si>
    <t>Karteikarte-CCC_Maklergesellschaft.xlsx</t>
  </si>
  <si>
    <t>C:\Users\JoachimMeyer\TalkServ GmbH\Verwaltung - General\Kartei\Kunden\C\CCC\Karteikarte-CCC_Maklergesellschaft.xlsx</t>
  </si>
  <si>
    <t>Karteikarte-CCC_Montabaur.xlsx</t>
  </si>
  <si>
    <t>C:\Users\JoachimMeyer\TalkServ GmbH\Verwaltung - General\Kartei\Kunden\C\CCC\Karteikarte-CCC_Montabaur.xlsx</t>
  </si>
  <si>
    <t>Karteikarte-CFT.xlsx</t>
  </si>
  <si>
    <t>C:\Users\JoachimMeyer\TalkServ GmbH\Verwaltung - General\Kartei\Kunden\C\CFT\Karteikarte-CFT.xlsx</t>
  </si>
  <si>
    <t>Karteikarte-charge2change.xlsx</t>
  </si>
  <si>
    <t>C:\Users\JoachimMeyer\TalkServ GmbH\Verwaltung - General\Kartei\Kunden\C\charge2change\Karteikarte-charge2change.xlsx</t>
  </si>
  <si>
    <t>Karteikarte-charge2change_Etterer.xlsx</t>
  </si>
  <si>
    <t>C:\Users\JoachimMeyer\TalkServ GmbH\Verwaltung - General\Kartei\Kunden\C\charge2change\Karteikarte-charge2change_Etterer.xlsx</t>
  </si>
  <si>
    <t>Karteikarte-Charles.xlsx</t>
  </si>
  <si>
    <t>C:\Users\JoachimMeyer\TalkServ GmbH\Verwaltung - General\Kartei\Kunden\C\Charles\Karteikarte-Charles.xlsx</t>
  </si>
  <si>
    <t>Karteikarte-Cheminova_TM.xlsx</t>
  </si>
  <si>
    <t>C:\Users\JoachimMeyer\TalkServ GmbH\Verwaltung - General\Kartei\Kunden\C\Cheminova\Karteikarte-Cheminova_TM.xlsx</t>
  </si>
  <si>
    <t>Karteikarte-Cheminova_VF.xlsx</t>
  </si>
  <si>
    <t>C:\Users\JoachimMeyer\TalkServ GmbH\Verwaltung - General\Kartei\Kunden\C\Cheminova\Karteikarte-Cheminova_VF.xlsx</t>
  </si>
  <si>
    <t>Karteikarte-Christiansen.xlsx</t>
  </si>
  <si>
    <t>C:\Users\JoachimMeyer\TalkServ GmbH\Verwaltung - General\Kartei\Kunden\C\Christiansen\Karteikarte-Christiansen.xlsx</t>
  </si>
  <si>
    <t>Karteikarte-CiS.xlsx</t>
  </si>
  <si>
    <t>C:\Users\JoachimMeyer\TalkServ GmbH\Verwaltung - General\Kartei\Kunden\C\CiS\Karteikarte-CiS.xlsx</t>
  </si>
  <si>
    <t>Karteikarte-Cleanmarine.xlsx</t>
  </si>
  <si>
    <t>C:\Users\JoachimMeyer\TalkServ GmbH\Verwaltung - General\Kartei\Kunden\C\Cleanmarine\Karteikarte-Cleanmarine.xlsx</t>
  </si>
  <si>
    <t>Karteikarte-Climavent.xlsx</t>
  </si>
  <si>
    <t>C:\Users\JoachimMeyer\TalkServ GmbH\Verwaltung - General\Kartei\Kunden\C\Climavent\Karteikarte-Climavent.xlsx</t>
  </si>
  <si>
    <t>Karteikarte-CO.DON.xlsx</t>
  </si>
  <si>
    <t>C:\Users\JoachimMeyer\TalkServ GmbH\Verwaltung - General\Kartei\Kunden\C\CO.DON\Karteikarte-CO.DON.xlsx</t>
  </si>
  <si>
    <t>Karteikarte-Communication.xlsx</t>
  </si>
  <si>
    <t>C:\Users\JoachimMeyer\TalkServ GmbH\Verwaltung - General\Kartei\Kunden\C\Communication\Karteikarte-Communication.xlsx</t>
  </si>
  <si>
    <t>Karteikarte-Components.xlsx</t>
  </si>
  <si>
    <t>C:\Users\JoachimMeyer\TalkServ GmbH\Verwaltung - General\Kartei\Kunden\C\Components\Karteikarte-Components.xlsx</t>
  </si>
  <si>
    <t>Karteikarte-Condias.xlsx</t>
  </si>
  <si>
    <t>C:\Users\JoachimMeyer\TalkServ GmbH\Verwaltung - General\Kartei\Kunden\C\Condias\Karteikarte-Condias.xlsx</t>
  </si>
  <si>
    <t>Karteikarte-Conrail_Container.xlsx</t>
  </si>
  <si>
    <t>C:\Users\JoachimMeyer\TalkServ GmbH\Verwaltung - General\Kartei\Kunden\C\Conrail\Karteikarte-Conrail_Container.xlsx</t>
  </si>
  <si>
    <t>Karteikarte-Conrail_Lease.xlsx</t>
  </si>
  <si>
    <t>C:\Users\JoachimMeyer\TalkServ GmbH\Verwaltung - General\Kartei\Kunden\C\Conrail\Karteikarte-Conrail_Lease.xlsx</t>
  </si>
  <si>
    <t>Karteikarte-Consens.xlsx</t>
  </si>
  <si>
    <t>C:\Users\JoachimMeyer\TalkServ GmbH\Verwaltung - General\Kartei\Kunden\C\Consens\Karteikarte-Consens.xlsx</t>
  </si>
  <si>
    <t>Karteikarte-Cooper.xlsx</t>
  </si>
  <si>
    <t>C:\Users\JoachimMeyer\TalkServ GmbH\Verwaltung - General\Kartei\Kunden\C\Cooper\Karteikarte-Cooper.xlsx</t>
  </si>
  <si>
    <t>Karteikarte-Cooper_Podewski.xlsx</t>
  </si>
  <si>
    <t>C:\Users\JoachimMeyer\TalkServ GmbH\Verwaltung - General\Kartei\Kunden\C\Cooper\Karteikarte-Cooper_Podewski.xlsx</t>
  </si>
  <si>
    <t>Karteikarte-Cornelius.xlsx</t>
  </si>
  <si>
    <t>C:\Users\JoachimMeyer\TalkServ GmbH\Verwaltung - General\Kartei\Kunden\C\Cornelius\Karteikarte-Cornelius.xlsx</t>
  </si>
  <si>
    <t>Karteikarte-Crown.xlsx</t>
  </si>
  <si>
    <t>C:\Users\JoachimMeyer\TalkServ GmbH\Verwaltung - General\Kartei\Kunden\C\Crown\Karteikarte-Crown.xlsx</t>
  </si>
  <si>
    <t>Karteikarte-CTX.xlsx</t>
  </si>
  <si>
    <t>C:\Users\JoachimMeyer\TalkServ GmbH\Verwaltung - General\Kartei\Kunden\C\CTX\Karteikarte-CTX.xlsx</t>
  </si>
  <si>
    <t>Karteikarte-Curdt.xlsx</t>
  </si>
  <si>
    <t>C:\Users\JoachimMeyer\TalkServ GmbH\Verwaltung - General\Kartei\Kunden\C\Curdt\Karteikarte-Curdt.xlsx</t>
  </si>
  <si>
    <t>Nachname</t>
  </si>
  <si>
    <t>Vorname</t>
  </si>
  <si>
    <t>Eris</t>
  </si>
  <si>
    <t>Gürkan</t>
  </si>
  <si>
    <t>Lehrmann</t>
  </si>
  <si>
    <t>Marcel</t>
  </si>
  <si>
    <t>Plottek</t>
  </si>
  <si>
    <t>André</t>
  </si>
  <si>
    <t>Schweitzer</t>
  </si>
  <si>
    <t>Sven</t>
  </si>
  <si>
    <t>Weber</t>
  </si>
  <si>
    <t>Joelle</t>
  </si>
  <si>
    <t>Alias</t>
  </si>
  <si>
    <t>Guerkan</t>
  </si>
  <si>
    <t>Andre</t>
  </si>
  <si>
    <t>Schweizer</t>
  </si>
  <si>
    <t>xusr</t>
  </si>
  <si>
    <t>Plath</t>
  </si>
  <si>
    <t>Julian</t>
  </si>
  <si>
    <t>Keller</t>
  </si>
  <si>
    <t>Doreen</t>
  </si>
  <si>
    <t>Gläser</t>
  </si>
  <si>
    <t>Krüger</t>
  </si>
  <si>
    <t>Oliver</t>
  </si>
  <si>
    <t>Krueger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</si>
</sst>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12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0"/>
      <color theme="1"/>
      <name val="Cascadia Mono"/>
      <family val="3"/>
    </font>
    <font>
      <sz val="11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164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/>
    </xf>
    <xf numFmtId="0" fontId="10" fillId="3" borderId="0" xfId="0" applyFont="1" applyFill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center"/>
    </xf>
    <xf numFmtId="0" fontId="0" fillId="4" borderId="0" xfId="0" applyFill="1"/>
    <xf numFmtId="0" fontId="11" fillId="5" borderId="2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left" vertical="top"/>
    </xf>
    <xf numFmtId="0" fontId="11" fillId="5" borderId="0" xfId="0" applyFont="1" applyFill="1"/>
    <xf numFmtId="0" fontId="11" fillId="5" borderId="0" xfId="0" applyFont="1" applyFill="1" applyAlignment="1">
      <alignment horizontal="right" vertical="center" wrapText="1"/>
    </xf>
    <xf numFmtId="0" fontId="11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 wrapText="1"/>
    </xf>
    <xf numFmtId="0" fontId="11" fillId="3" borderId="1" xfId="0" applyFont="1" applyFill="1" applyBorder="1" applyAlignment="1">
      <alignment horizontal="left" vertical="top"/>
    </xf>
    <xf numFmtId="0" fontId="10" fillId="5" borderId="0" xfId="0" applyFont="1" applyFill="1"/>
    <xf numFmtId="0" fontId="2" fillId="0" borderId="0" xfId="1" applyAlignment="1">
      <alignment horizontal="left" vertical="top"/>
    </xf>
  </cellXfs>
  <cellStyles count="2">
    <cellStyle name="Link" xfId="1" builtinId="8"/>
    <cellStyle name="Standard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9" tint="0.79998168889431442"/>
        </patternFill>
      </fill>
    </dxf>
    <dxf>
      <font>
        <sz val="10"/>
        <name val="Aptos Narrow"/>
        <family val="2"/>
        <scheme val="maj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E58BF0D9-739C-4695-9AC5-B287E135A7F8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298A7F8B-CCAA-B556-3125-F48AF920282C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8E541571-25C6-297A-1656-CF65A67A8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6" totalsRowShown="0" headerRowDxfId="12">
  <autoFilter ref="A6:E36" xr:uid="{37A296C0-4C2E-4405-B795-CFA78DE93C84}"/>
  <tableColumns count="5">
    <tableColumn id="1" xr3:uid="{AFA99491-F6D5-41D6-B723-C708B1623F58}" name="Karteikarte" dataDxfId="11"/>
    <tableColumn id="5" xr3:uid="{BC2E74F2-8CC5-45D6-BCD9-99E142B2EB88}" name="Link" dataDxfId="10" dataCellStyle="Link">
      <calculatedColumnFormula>HYPERLINK(tblFiles[[#This Row],[Fullname]], "Open File")</calculatedColumnFormula>
    </tableColumn>
    <tableColumn id="3" xr3:uid="{FF73389A-7231-410E-8469-7D91917E8DE9}" name="Größe" dataDxfId="9"/>
    <tableColumn id="2" xr3:uid="{2229DE36-C8B6-495C-9B06-C8DF5F3BB6DF}" name="Datum" dataDxfId="8"/>
    <tableColumn id="4" xr3:uid="{B211A091-1FD8-424C-B807-850F45620B93}" name="Fullname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97268-C1BE-4D7F-A6EB-171E64D0DC47}" name="Tabelle4" displayName="Tabelle4" ref="A2:D10" totalsRowShown="0">
  <autoFilter ref="A2:D10" xr:uid="{24697268-C1BE-4D7F-A6EB-171E64D0DC47}"/>
  <tableColumns count="4">
    <tableColumn id="1" xr3:uid="{5A8A1EB1-C138-4431-9B5D-B641982E5844}" name="Nachname"/>
    <tableColumn id="2" xr3:uid="{D717A097-2D95-4FF1-A902-218C72D0FBD7}" name="Vorname"/>
    <tableColumn id="3" xr3:uid="{7CFCE4E7-270E-444E-9AD0-65EDD4E358AF}" name="Fullname">
      <calculatedColumnFormula>Tabelle4[[#This Row],[Nachname]] &amp; ", " &amp; Tabelle4[[#This Row],[Vorname]]</calculatedColumnFormula>
    </tableColumn>
    <tableColumn id="4" xr3:uid="{EA155135-7E12-4995-AFD5-8F3D33B8A63F}" name="Alia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05AFF0-5957-4F94-A3F6-357C7AE0F9EA}" name="tblDeveloper" displayName="tblDeveloper" ref="A6:F10" totalsRowShown="0" headerRowDxfId="6" dataDxfId="5">
  <autoFilter ref="A6:F10" xr:uid="{9205AFF0-5957-4F94-A3F6-357C7AE0F9EA}"/>
  <tableColumns count="6">
    <tableColumn id="1" xr3:uid="{12255B9F-A074-47DA-BD7E-C3C42C77EC3C}" name="Headers" dataDxfId="4"/>
    <tableColumn id="7" xr3:uid="{8F051676-3796-4F59-AB14-D38B4403D906}" name="Types"/>
    <tableColumn id="2" xr3:uid="{1E6F34B9-F1A9-4D8A-9558-464C69A12D7F}" name="VBA Names" dataDxfId="3">
      <calculatedColumnFormula>_xlfn.REGEXREPLACE(tblDeveloper[[#This Row],[Headers]], "\W", "")</calculatedColumnFormula>
    </tableColumn>
    <tableColumn id="3" xr3:uid="{8CE5A094-6AE4-45C5-AF97-07672D2C385D}" name="Class Enums" dataDxfId="2">
      <calculatedColumnFormula>IF(DevEnumPrefix = "", "",DevEnumPrefix &amp; tblDeveloper[[#This Row],[VBA Names]] &amp; IF(ROW() = 7, " = 1", ""))</calculatedColumnFormula>
    </tableColumn>
    <tableColumn id="6" xr3:uid="{0006B429-7629-447A-87DA-3F514E7AA9D7}" name="Var-Declarations" dataDxfId="1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805BC96B-CF85-4E8B-A233-B832CC49B7DF}" name="Assignments" dataDxfId="0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6"/>
  <sheetViews>
    <sheetView tabSelected="1" workbookViewId="0">
      <selection activeCell="B15" sqref="B15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1.5" style="1" customWidth="1"/>
    <col min="4" max="4" width="18.375" style="1" customWidth="1"/>
    <col min="5" max="5" width="118.5" style="1" customWidth="1"/>
    <col min="6" max="16384" width="11" style="1"/>
  </cols>
  <sheetData>
    <row r="1" spans="1:5" s="5" customFormat="1" ht="36" customHeight="1" x14ac:dyDescent="0.25">
      <c r="A1" s="6" t="s">
        <v>4</v>
      </c>
    </row>
    <row r="2" spans="1:5" x14ac:dyDescent="0.25">
      <c r="A2" s="30"/>
    </row>
    <row r="3" spans="1:5" s="9" customFormat="1" ht="18" customHeight="1" x14ac:dyDescent="0.25">
      <c r="A3" s="13" t="s">
        <v>5</v>
      </c>
      <c r="B3" s="11" t="s">
        <v>19</v>
      </c>
      <c r="D3" s="14">
        <f>ROWS(tblFiles[Karteikarte])</f>
        <v>30</v>
      </c>
      <c r="E3" s="12"/>
    </row>
    <row r="4" spans="1:5" x14ac:dyDescent="0.25">
      <c r="B4" s="10"/>
    </row>
    <row r="6" spans="1:5" ht="39.75" customHeight="1" x14ac:dyDescent="0.25">
      <c r="A6" s="8" t="s">
        <v>0</v>
      </c>
      <c r="B6" s="8" t="s">
        <v>3</v>
      </c>
      <c r="C6" s="8" t="s">
        <v>1</v>
      </c>
      <c r="D6" s="8" t="s">
        <v>2</v>
      </c>
      <c r="E6" s="8" t="s">
        <v>18</v>
      </c>
    </row>
    <row r="7" spans="1:5" x14ac:dyDescent="0.25">
      <c r="A7" s="4" t="s">
        <v>20</v>
      </c>
      <c r="B7" s="3" t="str">
        <f>HYPERLINK(tblFiles[[#This Row],[Fullname]], "Open File")</f>
        <v>Open File</v>
      </c>
      <c r="C7" s="7">
        <v>91715</v>
      </c>
      <c r="D7" s="2">
        <v>46128.620821759258</v>
      </c>
      <c r="E7" s="4" t="s">
        <v>21</v>
      </c>
    </row>
    <row r="8" spans="1:5" x14ac:dyDescent="0.25">
      <c r="A8" s="4" t="s">
        <v>22</v>
      </c>
      <c r="B8" s="3" t="str">
        <f>HYPERLINK(tblFiles[[#This Row],[Fullname]], "Open File")</f>
        <v>Open File</v>
      </c>
      <c r="C8" s="7">
        <v>78164</v>
      </c>
      <c r="D8" s="2">
        <v>46085.449814814812</v>
      </c>
      <c r="E8" s="4" t="s">
        <v>23</v>
      </c>
    </row>
    <row r="9" spans="1:5" x14ac:dyDescent="0.25">
      <c r="A9" s="4" t="s">
        <v>24</v>
      </c>
      <c r="B9" s="3" t="str">
        <f>HYPERLINK(tblFiles[[#This Row],[Fullname]], "Open File")</f>
        <v>Open File</v>
      </c>
      <c r="C9" s="7">
        <v>78523</v>
      </c>
      <c r="D9" s="2">
        <v>46057.672291666669</v>
      </c>
      <c r="E9" s="4" t="s">
        <v>25</v>
      </c>
    </row>
    <row r="10" spans="1:5" x14ac:dyDescent="0.25">
      <c r="A10" s="4" t="s">
        <v>26</v>
      </c>
      <c r="B10" s="3" t="str">
        <f>HYPERLINK(tblFiles[[#This Row],[Fullname]], "Open File")</f>
        <v>Open File</v>
      </c>
      <c r="C10" s="7">
        <v>80457</v>
      </c>
      <c r="D10" s="2">
        <v>46057.672881944447</v>
      </c>
      <c r="E10" s="4" t="s">
        <v>27</v>
      </c>
    </row>
    <row r="11" spans="1:5" x14ac:dyDescent="0.25">
      <c r="A11" s="4" t="s">
        <v>28</v>
      </c>
      <c r="B11" s="3" t="str">
        <f>HYPERLINK(tblFiles[[#This Row],[Fullname]], "Open File")</f>
        <v>Open File</v>
      </c>
      <c r="C11" s="7">
        <v>79935</v>
      </c>
      <c r="D11" s="2">
        <v>46045.273182870369</v>
      </c>
      <c r="E11" s="4" t="s">
        <v>29</v>
      </c>
    </row>
    <row r="12" spans="1:5" x14ac:dyDescent="0.25">
      <c r="A12" s="4" t="s">
        <v>30</v>
      </c>
      <c r="B12" s="3" t="str">
        <f>HYPERLINK(tblFiles[[#This Row],[Fullname]], "Open File")</f>
        <v>Open File</v>
      </c>
      <c r="C12" s="7">
        <v>90508</v>
      </c>
      <c r="D12" s="2">
        <v>46139.570636574077</v>
      </c>
      <c r="E12" s="4" t="s">
        <v>31</v>
      </c>
    </row>
    <row r="13" spans="1:5" x14ac:dyDescent="0.25">
      <c r="A13" s="4" t="s">
        <v>32</v>
      </c>
      <c r="B13" s="3" t="str">
        <f>HYPERLINK(tblFiles[[#This Row],[Fullname]], "Open File")</f>
        <v>Open File</v>
      </c>
      <c r="C13" s="7">
        <v>77957</v>
      </c>
      <c r="D13" s="2">
        <v>46057.673657407409</v>
      </c>
      <c r="E13" s="4" t="s">
        <v>33</v>
      </c>
    </row>
    <row r="14" spans="1:5" x14ac:dyDescent="0.25">
      <c r="A14" s="4" t="s">
        <v>34</v>
      </c>
      <c r="B14" s="3" t="str">
        <f>HYPERLINK(tblFiles[[#This Row],[Fullname]], "Open File")</f>
        <v>Open File</v>
      </c>
      <c r="C14" s="7">
        <v>100706</v>
      </c>
      <c r="D14" s="2">
        <v>46030.551851851851</v>
      </c>
      <c r="E14" s="4" t="s">
        <v>35</v>
      </c>
    </row>
    <row r="15" spans="1:5" x14ac:dyDescent="0.25">
      <c r="A15" s="4" t="s">
        <v>36</v>
      </c>
      <c r="B15" s="3" t="str">
        <f>HYPERLINK(tblFiles[[#This Row],[Fullname]], "Open File")</f>
        <v>Open File</v>
      </c>
      <c r="C15" s="7">
        <v>110296</v>
      </c>
      <c r="D15" s="2">
        <v>46139.822847222225</v>
      </c>
      <c r="E15" s="4" t="s">
        <v>37</v>
      </c>
    </row>
    <row r="16" spans="1:5" x14ac:dyDescent="0.25">
      <c r="A16" s="4" t="s">
        <v>38</v>
      </c>
      <c r="B16" s="3" t="str">
        <f>HYPERLINK(tblFiles[[#This Row],[Fullname]], "Open File")</f>
        <v>Open File</v>
      </c>
      <c r="C16" s="7">
        <v>102804</v>
      </c>
      <c r="D16" s="2">
        <v>46058.628032407411</v>
      </c>
      <c r="E16" s="4" t="s">
        <v>39</v>
      </c>
    </row>
    <row r="17" spans="1:5" x14ac:dyDescent="0.25">
      <c r="A17" s="4" t="s">
        <v>40</v>
      </c>
      <c r="B17" s="3" t="str">
        <f>HYPERLINK(tblFiles[[#This Row],[Fullname]], "Open File")</f>
        <v>Open File</v>
      </c>
      <c r="C17" s="7">
        <v>106865</v>
      </c>
      <c r="D17" s="2">
        <v>46058.634699074071</v>
      </c>
      <c r="E17" s="4" t="s">
        <v>41</v>
      </c>
    </row>
    <row r="18" spans="1:5" x14ac:dyDescent="0.25">
      <c r="A18" s="4" t="s">
        <v>42</v>
      </c>
      <c r="B18" s="3" t="str">
        <f>HYPERLINK(tblFiles[[#This Row],[Fullname]], "Open File")</f>
        <v>Open File</v>
      </c>
      <c r="C18" s="7">
        <v>110631</v>
      </c>
      <c r="D18" s="2">
        <v>46127.512384259258</v>
      </c>
      <c r="E18" s="4" t="s">
        <v>43</v>
      </c>
    </row>
    <row r="19" spans="1:5" x14ac:dyDescent="0.25">
      <c r="A19" s="4" t="s">
        <v>44</v>
      </c>
      <c r="B19" s="3" t="str">
        <f>HYPERLINK(tblFiles[[#This Row],[Fullname]], "Open File")</f>
        <v>Open File</v>
      </c>
      <c r="C19" s="7">
        <v>86839</v>
      </c>
      <c r="D19" s="2">
        <v>46085.490717592591</v>
      </c>
      <c r="E19" s="4" t="s">
        <v>45</v>
      </c>
    </row>
    <row r="20" spans="1:5" x14ac:dyDescent="0.25">
      <c r="A20" s="4" t="s">
        <v>46</v>
      </c>
      <c r="B20" s="3" t="str">
        <f>HYPERLINK(tblFiles[[#This Row],[Fullname]], "Open File")</f>
        <v>Open File</v>
      </c>
      <c r="C20" s="7">
        <v>104052</v>
      </c>
      <c r="D20" s="2">
        <v>46111.570752314816</v>
      </c>
      <c r="E20" s="4" t="s">
        <v>47</v>
      </c>
    </row>
    <row r="21" spans="1:5" x14ac:dyDescent="0.25">
      <c r="A21" s="4" t="s">
        <v>48</v>
      </c>
      <c r="B21" s="3" t="str">
        <f>HYPERLINK(tblFiles[[#This Row],[Fullname]], "Open File")</f>
        <v>Open File</v>
      </c>
      <c r="C21" s="7">
        <v>94987</v>
      </c>
      <c r="D21" s="2">
        <v>46133.4612037037</v>
      </c>
      <c r="E21" s="4" t="s">
        <v>49</v>
      </c>
    </row>
    <row r="22" spans="1:5" x14ac:dyDescent="0.25">
      <c r="A22" s="4" t="s">
        <v>50</v>
      </c>
      <c r="B22" s="3" t="str">
        <f>HYPERLINK(tblFiles[[#This Row],[Fullname]], "Open File")</f>
        <v>Open File</v>
      </c>
      <c r="C22" s="7">
        <v>82837</v>
      </c>
      <c r="D22" s="2">
        <v>46111.521944444445</v>
      </c>
      <c r="E22" s="4" t="s">
        <v>51</v>
      </c>
    </row>
    <row r="23" spans="1:5" x14ac:dyDescent="0.25">
      <c r="A23" s="4" t="s">
        <v>52</v>
      </c>
      <c r="B23" s="3" t="str">
        <f>HYPERLINK(tblFiles[[#This Row],[Fullname]], "Open File")</f>
        <v>Open File</v>
      </c>
      <c r="C23" s="7">
        <v>89760</v>
      </c>
      <c r="D23" s="2">
        <v>46070.439050925925</v>
      </c>
      <c r="E23" s="4" t="s">
        <v>53</v>
      </c>
    </row>
    <row r="24" spans="1:5" x14ac:dyDescent="0.25">
      <c r="A24" s="4" t="s">
        <v>54</v>
      </c>
      <c r="B24" s="3" t="str">
        <f>HYPERLINK(tblFiles[[#This Row],[Fullname]], "Open File")</f>
        <v>Open File</v>
      </c>
      <c r="C24" s="7">
        <v>104341</v>
      </c>
      <c r="D24" s="2">
        <v>46136.280462962961</v>
      </c>
      <c r="E24" s="4" t="s">
        <v>55</v>
      </c>
    </row>
    <row r="25" spans="1:5" x14ac:dyDescent="0.25">
      <c r="A25" s="4" t="s">
        <v>56</v>
      </c>
      <c r="B25" s="3" t="str">
        <f>HYPERLINK(tblFiles[[#This Row],[Fullname]], "Open File")</f>
        <v>Open File</v>
      </c>
      <c r="C25" s="7">
        <v>108561</v>
      </c>
      <c r="D25" s="2">
        <v>46111.609178240738</v>
      </c>
      <c r="E25" s="4" t="s">
        <v>57</v>
      </c>
    </row>
    <row r="26" spans="1:5" x14ac:dyDescent="0.25">
      <c r="A26" s="4" t="s">
        <v>58</v>
      </c>
      <c r="B26" s="3" t="str">
        <f>HYPERLINK(tblFiles[[#This Row],[Fullname]], "Open File")</f>
        <v>Open File</v>
      </c>
      <c r="C26" s="7">
        <v>104683</v>
      </c>
      <c r="D26" s="2">
        <v>46134.554444444446</v>
      </c>
      <c r="E26" s="4" t="s">
        <v>59</v>
      </c>
    </row>
    <row r="27" spans="1:5" x14ac:dyDescent="0.25">
      <c r="A27" s="4" t="s">
        <v>60</v>
      </c>
      <c r="B27" s="3" t="str">
        <f>HYPERLINK(tblFiles[[#This Row],[Fullname]], "Open File")</f>
        <v>Open File</v>
      </c>
      <c r="C27" s="7">
        <v>97690</v>
      </c>
      <c r="D27" s="2">
        <v>46128.528993055559</v>
      </c>
      <c r="E27" s="4" t="s">
        <v>61</v>
      </c>
    </row>
    <row r="28" spans="1:5" x14ac:dyDescent="0.25">
      <c r="A28" s="4" t="s">
        <v>62</v>
      </c>
      <c r="B28" s="3" t="str">
        <f>HYPERLINK(tblFiles[[#This Row],[Fullname]], "Open File")</f>
        <v>Open File</v>
      </c>
      <c r="C28" s="7">
        <v>87781</v>
      </c>
      <c r="D28" s="2">
        <v>46133.352210648147</v>
      </c>
      <c r="E28" s="4" t="s">
        <v>63</v>
      </c>
    </row>
    <row r="29" spans="1:5" x14ac:dyDescent="0.25">
      <c r="A29" s="4" t="s">
        <v>64</v>
      </c>
      <c r="B29" s="3" t="str">
        <f>HYPERLINK(tblFiles[[#This Row],[Fullname]], "Open File")</f>
        <v>Open File</v>
      </c>
      <c r="C29" s="7">
        <v>75843</v>
      </c>
      <c r="D29" s="2">
        <v>45854.658217592594</v>
      </c>
      <c r="E29" s="4" t="s">
        <v>65</v>
      </c>
    </row>
    <row r="30" spans="1:5" x14ac:dyDescent="0.25">
      <c r="A30" s="4" t="s">
        <v>66</v>
      </c>
      <c r="B30" s="3" t="str">
        <f>HYPERLINK(tblFiles[[#This Row],[Fullname]], "Open File")</f>
        <v>Open File</v>
      </c>
      <c r="C30" s="7">
        <v>85156</v>
      </c>
      <c r="D30" s="2">
        <v>46100.469247685185</v>
      </c>
      <c r="E30" s="4" t="s">
        <v>67</v>
      </c>
    </row>
    <row r="31" spans="1:5" x14ac:dyDescent="0.25">
      <c r="A31" s="4" t="s">
        <v>68</v>
      </c>
      <c r="B31" s="3" t="str">
        <f>HYPERLINK(tblFiles[[#This Row],[Fullname]], "Open File")</f>
        <v>Open File</v>
      </c>
      <c r="C31" s="7">
        <v>82430</v>
      </c>
      <c r="D31" s="2">
        <v>46042.438113425924</v>
      </c>
      <c r="E31" s="4" t="s">
        <v>69</v>
      </c>
    </row>
    <row r="32" spans="1:5" x14ac:dyDescent="0.25">
      <c r="A32" s="4" t="s">
        <v>70</v>
      </c>
      <c r="B32" s="3" t="str">
        <f>HYPERLINK(tblFiles[[#This Row],[Fullname]], "Open File")</f>
        <v>Open File</v>
      </c>
      <c r="C32" s="7">
        <v>80962</v>
      </c>
      <c r="D32" s="2">
        <v>46070.588020833333</v>
      </c>
      <c r="E32" s="4" t="s">
        <v>71</v>
      </c>
    </row>
    <row r="33" spans="1:5" x14ac:dyDescent="0.25">
      <c r="A33" s="4" t="s">
        <v>72</v>
      </c>
      <c r="B33" s="3" t="str">
        <f>HYPERLINK(tblFiles[[#This Row],[Fullname]], "Open File")</f>
        <v>Open File</v>
      </c>
      <c r="C33" s="7">
        <v>108765</v>
      </c>
      <c r="D33" s="2">
        <v>46070.589872685188</v>
      </c>
      <c r="E33" s="4" t="s">
        <v>73</v>
      </c>
    </row>
    <row r="34" spans="1:5" x14ac:dyDescent="0.25">
      <c r="A34" s="4" t="s">
        <v>74</v>
      </c>
      <c r="B34" s="3" t="str">
        <f>HYPERLINK(tblFiles[[#This Row],[Fullname]], "Open File")</f>
        <v>Open File</v>
      </c>
      <c r="C34" s="7">
        <v>116319</v>
      </c>
      <c r="D34" s="2">
        <v>46086.333634259259</v>
      </c>
      <c r="E34" s="4" t="s">
        <v>75</v>
      </c>
    </row>
    <row r="35" spans="1:5" x14ac:dyDescent="0.25">
      <c r="A35" s="4" t="s">
        <v>76</v>
      </c>
      <c r="B35" s="3" t="str">
        <f>HYPERLINK(tblFiles[[#This Row],[Fullname]], "Open File")</f>
        <v>Open File</v>
      </c>
      <c r="C35" s="7">
        <v>103017</v>
      </c>
      <c r="D35" s="2">
        <v>46108.431388888886</v>
      </c>
      <c r="E35" s="4" t="s">
        <v>77</v>
      </c>
    </row>
    <row r="36" spans="1:5" x14ac:dyDescent="0.25">
      <c r="A36" s="4" t="s">
        <v>78</v>
      </c>
      <c r="B36" s="3" t="str">
        <f>HYPERLINK(tblFiles[[#This Row],[Fullname]], "Open File")</f>
        <v>Open File</v>
      </c>
      <c r="C36" s="7">
        <v>107967</v>
      </c>
      <c r="D36" s="2">
        <v>46125.343854166669</v>
      </c>
      <c r="E36" s="4" t="s">
        <v>79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575A7-7AD1-445C-B91E-0F7AC6117419}">
  <sheetPr codeName="shUsers"/>
  <dimension ref="A1:D10"/>
  <sheetViews>
    <sheetView workbookViewId="0">
      <selection activeCell="D9" sqref="D9"/>
    </sheetView>
  </sheetViews>
  <sheetFormatPr baseColWidth="10" defaultRowHeight="15" x14ac:dyDescent="0.25"/>
  <cols>
    <col min="1" max="1" width="11.625" customWidth="1"/>
    <col min="3" max="3" width="21.625" customWidth="1"/>
    <col min="4" max="4" width="15.75" customWidth="1"/>
  </cols>
  <sheetData>
    <row r="1" spans="1:4" s="5" customFormat="1" ht="36" customHeight="1" x14ac:dyDescent="0.25">
      <c r="A1" s="6" t="s">
        <v>4</v>
      </c>
    </row>
    <row r="2" spans="1:4" x14ac:dyDescent="0.25">
      <c r="A2" t="s">
        <v>80</v>
      </c>
      <c r="B2" t="s">
        <v>81</v>
      </c>
      <c r="C2" t="s">
        <v>18</v>
      </c>
      <c r="D2" t="s">
        <v>92</v>
      </c>
    </row>
    <row r="3" spans="1:4" x14ac:dyDescent="0.25">
      <c r="A3" t="s">
        <v>82</v>
      </c>
      <c r="B3" t="s">
        <v>83</v>
      </c>
      <c r="C3" t="str">
        <f>Tabelle4[[#This Row],[Nachname]] &amp; ", " &amp; Tabelle4[[#This Row],[Vorname]]</f>
        <v>Eris, Gürkan</v>
      </c>
      <c r="D3" t="s">
        <v>93</v>
      </c>
    </row>
    <row r="4" spans="1:4" x14ac:dyDescent="0.25">
      <c r="A4" t="s">
        <v>84</v>
      </c>
      <c r="B4" t="s">
        <v>85</v>
      </c>
      <c r="C4" t="str">
        <f>Tabelle4[[#This Row],[Nachname]] &amp; ", " &amp; Tabelle4[[#This Row],[Vorname]]</f>
        <v>Lehrmann, Marcel</v>
      </c>
    </row>
    <row r="5" spans="1:4" x14ac:dyDescent="0.25">
      <c r="A5" t="s">
        <v>86</v>
      </c>
      <c r="B5" t="s">
        <v>87</v>
      </c>
      <c r="C5" t="str">
        <f>Tabelle4[[#This Row],[Nachname]] &amp; ", " &amp; Tabelle4[[#This Row],[Vorname]]</f>
        <v>Plottek, André</v>
      </c>
      <c r="D5" t="s">
        <v>94</v>
      </c>
    </row>
    <row r="6" spans="1:4" x14ac:dyDescent="0.25">
      <c r="A6" t="s">
        <v>88</v>
      </c>
      <c r="B6" t="s">
        <v>89</v>
      </c>
      <c r="C6" t="str">
        <f>Tabelle4[[#This Row],[Nachname]] &amp; ", " &amp; Tabelle4[[#This Row],[Vorname]]</f>
        <v>Schweitzer, Sven</v>
      </c>
      <c r="D6" t="s">
        <v>95</v>
      </c>
    </row>
    <row r="7" spans="1:4" x14ac:dyDescent="0.25">
      <c r="A7" t="s">
        <v>90</v>
      </c>
      <c r="B7" t="s">
        <v>91</v>
      </c>
      <c r="C7" t="str">
        <f>Tabelle4[[#This Row],[Nachname]] &amp; ", " &amp; Tabelle4[[#This Row],[Vorname]]</f>
        <v>Weber, Joelle</v>
      </c>
    </row>
    <row r="8" spans="1:4" x14ac:dyDescent="0.25">
      <c r="A8" t="s">
        <v>97</v>
      </c>
      <c r="B8" t="s">
        <v>98</v>
      </c>
      <c r="C8" t="str">
        <f>Tabelle4[[#This Row],[Nachname]] &amp; ", " &amp; Tabelle4[[#This Row],[Vorname]]</f>
        <v>Plath, Julian</v>
      </c>
    </row>
    <row r="9" spans="1:4" x14ac:dyDescent="0.25">
      <c r="A9" t="s">
        <v>101</v>
      </c>
      <c r="B9" t="s">
        <v>100</v>
      </c>
      <c r="C9" t="str">
        <f>Tabelle4[[#This Row],[Nachname]] &amp; ", " &amp; Tabelle4[[#This Row],[Vorname]]</f>
        <v>Gläser, Doreen</v>
      </c>
      <c r="D9" t="s">
        <v>99</v>
      </c>
    </row>
    <row r="10" spans="1:4" x14ac:dyDescent="0.25">
      <c r="A10" t="s">
        <v>102</v>
      </c>
      <c r="B10" t="s">
        <v>103</v>
      </c>
      <c r="C10" t="str">
        <f>Tabelle4[[#This Row],[Nachname]] &amp; ", " &amp; Tabelle4[[#This Row],[Vorname]]</f>
        <v>Krüger, Oliver</v>
      </c>
      <c r="D10" t="s">
        <v>104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F01D-2F9C-464D-8A55-B9500981FC03}">
  <sheetPr codeName="shDeveloper"/>
  <dimension ref="A1:F10"/>
  <sheetViews>
    <sheetView workbookViewId="0">
      <selection activeCell="E7" sqref="E7:E10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s="20" customFormat="1" ht="21" x14ac:dyDescent="0.25">
      <c r="A1" s="17" t="s">
        <v>6</v>
      </c>
      <c r="B1" s="18"/>
      <c r="C1" s="19"/>
      <c r="D1" s="18"/>
      <c r="E1" s="18"/>
      <c r="F1" s="18"/>
    </row>
    <row r="2" spans="1:6" s="24" customFormat="1" x14ac:dyDescent="0.25">
      <c r="A2" s="23"/>
      <c r="B2" s="23"/>
      <c r="C2" s="23"/>
      <c r="D2" s="23"/>
      <c r="E2" s="23"/>
      <c r="F2" s="23"/>
    </row>
    <row r="3" spans="1:6" s="24" customFormat="1" x14ac:dyDescent="0.25">
      <c r="A3" s="23" t="s">
        <v>7</v>
      </c>
      <c r="B3" s="28" t="s">
        <v>96</v>
      </c>
      <c r="C3" s="23"/>
      <c r="D3" s="23"/>
      <c r="E3" s="23"/>
      <c r="F3" s="23"/>
    </row>
    <row r="4" spans="1:6" s="24" customFormat="1" x14ac:dyDescent="0.25">
      <c r="A4" s="23" t="s">
        <v>8</v>
      </c>
      <c r="B4" s="28" t="s">
        <v>9</v>
      </c>
      <c r="C4" s="23"/>
      <c r="D4" s="23"/>
      <c r="E4" s="23"/>
      <c r="F4" s="23"/>
    </row>
    <row r="5" spans="1:6" s="24" customFormat="1" ht="30" x14ac:dyDescent="0.25">
      <c r="A5" s="21" t="s">
        <v>10</v>
      </c>
      <c r="B5" s="22" t="s">
        <v>11</v>
      </c>
      <c r="C5" s="23"/>
      <c r="D5" s="25"/>
      <c r="E5" s="26"/>
      <c r="F5" s="27"/>
    </row>
    <row r="6" spans="1:6" x14ac:dyDescent="0.25">
      <c r="A6" s="15" t="s">
        <v>12</v>
      </c>
      <c r="B6" s="15" t="s">
        <v>13</v>
      </c>
      <c r="C6" s="15" t="s">
        <v>14</v>
      </c>
      <c r="D6" s="15" t="s">
        <v>15</v>
      </c>
      <c r="E6" s="15" t="s">
        <v>16</v>
      </c>
      <c r="F6" s="15" t="s">
        <v>17</v>
      </c>
    </row>
    <row r="7" spans="1:6" x14ac:dyDescent="0.25">
      <c r="A7" t="s">
        <v>80</v>
      </c>
      <c r="C7" s="29" t="str">
        <f>_xlfn.REGEXREPLACE(tblDeveloper[[#This Row],[Headers]], "\W", "")</f>
        <v>Nachname</v>
      </c>
      <c r="D7" s="16" t="str">
        <f>IF(DevEnumPrefix = "", "",DevEnumPrefix &amp; tblDeveloper[[#This Row],[VBA Names]] &amp; IF(ROW() = 7, " = 1", ""))</f>
        <v>xusrNachname = 1</v>
      </c>
      <c r="E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Nachname As String</v>
      </c>
      <c r="F7" s="16" t="str">
        <f>IF(ISBLANK(DevEnumPrefix), "", tblDeveloper[[#This Row],[VBA Names]] &amp; " = " &amp; "values(1, " &amp; DevEnumPrefix &amp; tblDeveloper[[#This Row],[VBA Names]] &amp; ")")</f>
        <v>Nachname = values(1, xusrNachname)</v>
      </c>
    </row>
    <row r="8" spans="1:6" x14ac:dyDescent="0.25">
      <c r="A8" t="s">
        <v>81</v>
      </c>
      <c r="C8" s="29" t="str">
        <f>_xlfn.REGEXREPLACE(tblDeveloper[[#This Row],[Headers]], "\W", "")</f>
        <v>Vorname</v>
      </c>
      <c r="D8" s="16" t="str">
        <f>IF(DevEnumPrefix = "", "",DevEnumPrefix &amp; tblDeveloper[[#This Row],[VBA Names]] &amp; IF(ROW() = 7, " = 1", ""))</f>
        <v>xusrVorname</v>
      </c>
      <c r="E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Vorname As String</v>
      </c>
      <c r="F8" s="16" t="str">
        <f>IF(ISBLANK(DevEnumPrefix), "", tblDeveloper[[#This Row],[VBA Names]] &amp; " = " &amp; "values(1, " &amp; DevEnumPrefix &amp; tblDeveloper[[#This Row],[VBA Names]] &amp; ")")</f>
        <v>Vorname = values(1, xusrVorname)</v>
      </c>
    </row>
    <row r="9" spans="1:6" x14ac:dyDescent="0.25">
      <c r="A9" t="s">
        <v>18</v>
      </c>
      <c r="C9" s="29" t="str">
        <f>_xlfn.REGEXREPLACE(tblDeveloper[[#This Row],[Headers]], "\W", "")</f>
        <v>Fullname</v>
      </c>
      <c r="D9" s="16" t="str">
        <f>IF(DevEnumPrefix = "", "",DevEnumPrefix &amp; tblDeveloper[[#This Row],[VBA Names]] &amp; IF(ROW() = 7, " = 1", ""))</f>
        <v>xusrFullname</v>
      </c>
      <c r="E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Fullname As String</v>
      </c>
      <c r="F9" s="16" t="str">
        <f>IF(ISBLANK(DevEnumPrefix), "", tblDeveloper[[#This Row],[VBA Names]] &amp; " = " &amp; "values(1, " &amp; DevEnumPrefix &amp; tblDeveloper[[#This Row],[VBA Names]] &amp; ")")</f>
        <v>Fullname = values(1, xusrFullname)</v>
      </c>
    </row>
    <row r="10" spans="1:6" x14ac:dyDescent="0.25">
      <c r="A10" t="s">
        <v>92</v>
      </c>
      <c r="C10" s="29" t="str">
        <f>_xlfn.REGEXREPLACE(tblDeveloper[[#This Row],[Headers]], "\W", "")</f>
        <v>Alias</v>
      </c>
      <c r="D10" s="16" t="str">
        <f>IF(DevEnumPrefix = "", "",DevEnumPrefix &amp; tblDeveloper[[#This Row],[VBA Names]] &amp; IF(ROW() = 7, " = 1", ""))</f>
        <v>xusrAlias</v>
      </c>
      <c r="E1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Alias As String</v>
      </c>
      <c r="F10" s="16" t="str">
        <f>IF(ISBLANK(DevEnumPrefix), "", tblDeveloper[[#This Row],[VBA Names]] &amp; " = " &amp; "values(1, " &amp; DevEnumPrefix &amp; tblDeveloper[[#This Row],[VBA Names]] &amp; ")")</f>
        <v>Alias = values(1, xusrAlias)</v>
      </c>
    </row>
  </sheetData>
  <dataValidations count="2">
    <dataValidation type="list" allowBlank="1" showInputMessage="1" showErrorMessage="1" sqref="B7:B10" xr:uid="{65ADD055-A069-4EEB-A6FC-0AF9EE45701E}">
      <formula1>"Date,Currency,Double,Long,Int"</formula1>
    </dataValidation>
    <dataValidation type="list" allowBlank="1" showInputMessage="1" showErrorMessage="1" sqref="B4" xr:uid="{6CA7A37C-23FF-495B-BB1B-87B77DFD0AB5}">
      <formula1>"Public,Private"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Dateien</vt:lpstr>
      <vt:lpstr>User</vt:lpstr>
      <vt:lpstr>DevEnumPrefix</vt:lpstr>
      <vt:lpstr>DevVarPrefix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2026-04-28T09:13:04Z</dcterms:modified>
</cp:coreProperties>
</file>