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FC77D921-1167-4648-B5A7-E954A3E9B925}" xr6:coauthVersionLast="47" xr6:coauthVersionMax="47" xr10:uidLastSave="{00000000-0000-0000-0000-000000000000}"/>
  <bookViews>
    <workbookView xWindow="-120" yWindow="-120" windowWidth="38640" windowHeight="21120" xr2:uid="{8D8A7297-29AF-4855-B0FC-36C74E96B491}"/>
  </bookViews>
  <sheets>
    <sheet name="Belege" sheetId="3" r:id="rId1"/>
    <sheet name="Kunden" sheetId="1" r:id="rId2"/>
    <sheet name="Optionen" sheetId="4" r:id="rId3"/>
    <sheet name="Benutzer" sheetId="5" r:id="rId4"/>
    <sheet name="Developer" sheetId="2" r:id="rId5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7" i="3" l="1"/>
  <c r="G7" i="3"/>
  <c r="K7" i="3"/>
  <c r="F6" i="3"/>
  <c r="G6" i="3"/>
  <c r="K6" i="3"/>
  <c r="K3" i="3" l="1"/>
  <c r="F3" i="3" l="1"/>
  <c r="F4" i="3"/>
  <c r="F5" i="3"/>
  <c r="C14" i="2" l="1"/>
  <c r="C15" i="2"/>
  <c r="C16" i="2"/>
  <c r="F16" i="2" s="1"/>
  <c r="C17" i="2"/>
  <c r="C18" i="2"/>
  <c r="F18" i="2" s="1"/>
  <c r="C19" i="2"/>
  <c r="F19" i="2" s="1"/>
  <c r="D14" i="2"/>
  <c r="D15" i="2"/>
  <c r="D17" i="2"/>
  <c r="D18" i="2"/>
  <c r="D19" i="2"/>
  <c r="E14" i="2"/>
  <c r="E15" i="2"/>
  <c r="E17" i="2"/>
  <c r="E18" i="2"/>
  <c r="E19" i="2"/>
  <c r="F14" i="2"/>
  <c r="F15" i="2"/>
  <c r="F17" i="2"/>
  <c r="C7" i="2"/>
  <c r="F7" i="2" s="1"/>
  <c r="E16" i="2" l="1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<sst xmlns="http://schemas.openxmlformats.org/spreadsheetml/2006/main" count="232" uniqueCount="184">
  <si>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</si>
  <si>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</si>
  <si>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</si>
  <si>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</si>
  <si>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</si>
  <si>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</si>
  <si>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</si>
  <si>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</si>
  <si>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</si>
  <si>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</si>
  <si>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</si>
  <si>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</si>
  <si>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</si>
  <si>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</si>
  <si>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</si>
  <si>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</si>
  <si>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</si>
  <si>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</si>
  <si>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</si>
  <si>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</si>
  <si>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</si>
  <si>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</si>
  <si>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</si>
  <si>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</si>
  <si>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</si>
  <si>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</si>
  <si>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</si>
  <si>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</si>
  <si>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</si>
  <si>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</si>
  <si>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</si>
  <si>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</si>
  <si>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</si>
  <si>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</si>
  <si>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</si>
  <si>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</si>
  <si>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</si>
  <si>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</si>
  <si>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</si>
  <si>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</si>
  <si>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</si>
  <si>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</si>
  <si>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</si>
  <si>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</si>
  <si>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</si>
  <si>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</si>
  <si>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</si>
  <si>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</si>
  <si>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</si>
  <si>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</si>
  <si>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</si>
  <si>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</si>
  <si>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</si>
  <si>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</si>
  <si>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</si>
  <si>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</si>
  <si>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</si>
  <si>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</si>
  <si>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</si>
  <si>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</si>
  <si>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</si>
  <si>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</si>
  <si>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</si>
  <si>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</si>
  <si>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</si>
  <si>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</si>
  <si>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</si>
  <si>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</si>
  <si>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</si>
  <si>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</si>
  <si>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</si>
  <si>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</si>
  <si>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</si>
  <si>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</si>
  <si>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</si>
  <si>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</si>
  <si>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</si>
  <si>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</si>
  <si>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</si>
  <si>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</si>
  <si>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</si>
  <si>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</si>
  <si>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</si>
  <si>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</si>
  <si>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</si>
  <si>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</si>
  <si>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</si>
  <si>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</si>
  <si>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</si>
  <si>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</si>
  <si>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</si>
  <si>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</si>
  <si>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</si>
  <si>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</si>
  <si>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</si>
  <si>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</si>
  <si>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</si>
  <si>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</si>
  <si>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</si>
  <si>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</si>
  <si>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</si>
  <si>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</si>
  <si>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</si>
  <si>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</si>
  <si>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</si>
  <si>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</si>
  <si>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</si>
  <si>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</si>
  <si>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</si>
  <si>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</si>
  <si>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</si>
  <si>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</si>
  <si>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</si>
  <si>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</si>
  <si>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</si>
  <si>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</si>
  <si>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</si>
  <si>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</si>
  <si>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</si>
  <si>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</si>
  <si>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</si>
  <si>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</si>
  <si>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</si>
  <si>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</si>
  <si>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</si>
  <si>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</si>
  <si>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</si>
  <si>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</si>
  <si>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</si>
  <si>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</si>
  <si>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</si>
  <si>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</si>
  <si>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</si>
  <si>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</si>
  <si>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</si>
  <si>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</si>
  <si>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</si>
  <si>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</si>
  <si>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</si>
  <si>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</si>
  <si>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</si>
  <si>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</si>
  <si>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</si>
  <si>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</si>
  <si>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</si>
  <si>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</si>
  <si>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</si>
  <si>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</si>
  <si>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</si>
  <si>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</si>
  <si>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</si>
  <si>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</si>
  <si>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</si>
  <si>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</si>
  <si>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</si>
  <si>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</si>
  <si>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</si>
  <si>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</si>
  <si>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</si>
  <si>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xkd</t>
  </si>
  <si>
    <t>Double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</si>
  <si>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</si>
  <si>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</si>
  <si>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</si>
  <si>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</si>
  <si>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</si>
  <si>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</si>
  <si>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</si>
  <si>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</si>
  <si>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</si>
  <si>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</si>
  <si>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</si>
  <si>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</si>
  <si>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</si>
  <si>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</si>
  <si>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</si>
  <si>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</si>
  <si>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</si>
  <si>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xoptMinBestellId</t>
  </si>
  <si>
    <t>Steuer</t>
  </si>
  <si>
    <t>3.0</t>
  </si>
  <si>
    <t>Gutschrift</t>
  </si>
  <si>
    <t>R26-11697</t>
  </si>
  <si>
    <t>G26-11699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</si>
</sst>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4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0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3" borderId="0" xfId="0" applyFont="1" applyFill="1"/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</cellXfs>
  <cellStyles count="2">
    <cellStyle name="Prozent" xfId="1" builtinId="5"/>
    <cellStyle name="Standard" xfId="0" builtinId="0"/>
  </cellStyles>
  <dxfs count="58"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1</xdr:col>
      <xdr:colOff>1524000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95962</xdr:colOff>
      <xdr:row>0</xdr:row>
      <xdr:rowOff>176211</xdr:rowOff>
    </xdr:from>
    <xdr:to>
      <xdr:col>3</xdr:col>
      <xdr:colOff>181687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142875</xdr:colOff>
      <xdr:row>1</xdr:row>
      <xdr:rowOff>295275</xdr:rowOff>
    </xdr:from>
    <xdr:to>
      <xdr:col>2</xdr:col>
      <xdr:colOff>430875</xdr:colOff>
      <xdr:row>1</xdr:row>
      <xdr:rowOff>583275</xdr:rowOff>
    </xdr:to>
    <xdr:pic macro="[0]!MAKRO_Beleg_Synchronisieren">
      <xdr:nvPicPr>
        <xdr:cNvPr id="26" name="Grafik 25" descr="Aktualisier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362200" y="90487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66675</xdr:colOff>
      <xdr:row>1</xdr:row>
      <xdr:rowOff>247650</xdr:rowOff>
    </xdr:from>
    <xdr:to>
      <xdr:col>3</xdr:col>
      <xdr:colOff>462675</xdr:colOff>
      <xdr:row>2</xdr:row>
      <xdr:rowOff>34050</xdr:rowOff>
    </xdr:to>
    <xdr:pic macro="[0]!MAKRO_Beleg_Check"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3124200" y="857250"/>
          <a:ext cx="396000" cy="396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7" totalsRowShown="0" headerRowDxfId="53" dataDxfId="52">
  <autoFilter ref="A2:K7" xr:uid="{37A48584-FB12-4ED5-BB8A-752F29227A4A}"/>
  <tableColumns count="11">
    <tableColumn id="1" xr3:uid="{F79C03E4-4338-460B-91E2-87F617A3A363}" name="Datum" dataDxfId="51"/>
    <tableColumn id="2" xr3:uid="{57AC6627-CEBE-4F21-B53F-4DFEEBF96E62}" name="Kunde" dataDxfId="50"/>
    <tableColumn id="3" xr3:uid="{FA7C0A07-B0CA-409E-A934-0D0C04EBECCD}" name="Beleg-Art" dataDxfId="49"/>
    <tableColumn id="4" xr3:uid="{589FBFEE-2F18-4B69-AFCF-0ECF09709E72}" name="Netto" dataDxfId="48"/>
    <tableColumn id="5" xr3:uid="{B888F12E-D822-4336-8E55-9725680A1F86}" name="Steuer" dataDxfId="47"/>
    <tableColumn id="6" xr3:uid="{B1BE896B-D398-417D-A725-0BA231DB7DE6}" name="Brutto" dataDxfId="46">
      <calculatedColumnFormula>tblBelege[[#This Row],[Netto]]*(1+tblBelege[[#This Row],[Steuer]])</calculatedColumnFormula>
    </tableColumn>
    <tableColumn id="8" xr3:uid="{71CF3787-8FE1-4E4D-B206-98A797912F83}" name="Beleg-Nr." dataDxfId="45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4"/>
    <tableColumn id="7" xr3:uid="{4D9788AC-90EB-49DB-BE18-9E0780BD3406}" name="Referenz" dataDxfId="43"/>
    <tableColumn id="10" xr3:uid="{E87E35C4-D961-405B-A0C0-85C376EB3AC8}" name="Beleg-ID" dataDxfId="42"/>
    <tableColumn id="9" xr3:uid="{FC9DF07A-1341-4548-99CE-89A97F1BB57F}" name="Debitor" dataDxfId="41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38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37"/>
    <tableColumn id="2" xr3:uid="{09E3FF44-BF1A-4DE3-B2C6-F50C58DD0E92}" name="Strasse" dataDxfId="36"/>
    <tableColumn id="3" xr3:uid="{4BAE4571-479A-46D3-A417-85F8551C0F91}" name="PLZ" dataDxfId="35"/>
    <tableColumn id="4" xr3:uid="{D2077C31-A2CF-407B-ABAB-CA7BFCE187A1}" name="Ort" dataDxfId="34"/>
    <tableColumn id="12" xr3:uid="{B1019A8E-0BC9-497C-BC57-FE34B9CD41A4}" name="Asp" dataDxfId="33"/>
    <tableColumn id="13" xr3:uid="{21A46CDB-4753-4D60-AA70-86AA97AADFDE}" name="Telefon" dataDxfId="32"/>
    <tableColumn id="18" xr3:uid="{D0E87F5E-1B94-4B57-AA39-EB86201542C6}" name="Email" dataDxfId="31"/>
    <tableColumn id="6" xr3:uid="{485B592F-C8BA-405E-9399-161668E4B630}" name="Rech.-Email" dataDxfId="30"/>
    <tableColumn id="7" xr3:uid="{FF15782B-4E5F-452C-8D3B-71E98CCFE37A}" name="Bank"/>
    <tableColumn id="8" xr3:uid="{940515E7-50E0-48CE-9B2A-0A7336E7A7C5}" name="IBAN" dataDxfId="29"/>
    <tableColumn id="9" xr3:uid="{B7F5A51C-B138-41B0-9A20-B89C82E17453}" name="BIC" dataDxfId="28"/>
    <tableColumn id="5" xr3:uid="{1478FA4A-CB46-458B-BF7D-4DE811EA8082}" name="Debitor" dataDxfId="27"/>
    <tableColumn id="10" xr3:uid="{2E674BDF-065C-45C5-831B-58DF0D339D39}" name="HR" dataDxfId="26"/>
    <tableColumn id="11" xr3:uid="{255C1610-8D8C-436C-835C-E6D3518EDB8E}" name="USt-Id" dataDxfId="25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7" headerRowDxfId="24" dataDxfId="23">
  <autoFilter ref="A2:C27" xr:uid="{AD9BFB59-0B19-4B61-B846-77FFCFDF3160}"/>
  <tableColumns count="3">
    <tableColumn id="1" xr3:uid="{322C896A-56D7-4E1B-B7B9-1A4F1A6CC4AA}" name="Einstellung" totalsRowLabel="Ergebnis" dataDxfId="22" totalsRowDxfId="21"/>
    <tableColumn id="3" xr3:uid="{F582F26F-2337-4C57-AA75-8C272DF78E41}" name="Index" dataDxfId="20" totalsRowDxfId="19"/>
    <tableColumn id="2" xr3:uid="{99560840-B9B6-4223-84D8-DD858B1A1B95}" name="Wert" totalsRowFunction="count" dataDxfId="18" totalsRowDxfId="17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abelle5" displayName="Tabelle5" ref="A2:G11" totalsRowShown="0" headerRowDxfId="16" dataDxfId="15">
  <autoFilter ref="A2:G11" xr:uid="{7B6F60F7-1DE9-4F39-B0DB-DF251B9C4AD4}"/>
  <tableColumns count="7">
    <tableColumn id="1" xr3:uid="{3E017AFA-3B19-4E9B-B909-3CD84A638D05}" name="Benutzer" dataDxfId="14"/>
    <tableColumn id="2" xr3:uid="{13B71626-8390-4908-8F55-C30C97A5D7A0}" name="Nachname" dataDxfId="13"/>
    <tableColumn id="3" xr3:uid="{307CD8A7-1624-4ACC-A34E-5B0C307DBD1D}" name="Vorname" dataDxfId="12"/>
    <tableColumn id="4" xr3:uid="{3AEEF3DC-EEDF-4F9C-A846-30BB2278D49C}" name="Kürzel" dataDxfId="11"/>
    <tableColumn id="5" xr3:uid="{B2CEA15A-D6D2-4670-A08A-09184660198F}" name="Titel" dataDxfId="10"/>
    <tableColumn id="6" xr3:uid="{58986A6E-037A-40BB-B043-D3E7BB82540F}" name="Telefon" dataDxfId="9"/>
    <tableColumn id="7" xr3:uid="{BBBB85B2-EF25-4C55-88C2-7688DE3CA8E0}" name="Email" dataDxfId="8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9" totalsRowShown="0" headerRowDxfId="7" dataDxfId="6">
  <autoFilter ref="A6:F19" xr:uid="{5287DC98-91DB-4B5B-9662-101E36AE0365}"/>
  <tableColumns count="6">
    <tableColumn id="1" xr3:uid="{73BECCB9-9804-4050-8D77-659358068B01}" name="Headers" dataDxfId="5"/>
    <tableColumn id="7" xr3:uid="{80408916-F93F-46AE-80F7-6102855F33CB}" name="Type" dataDxfId="4"/>
    <tableColumn id="2" xr3:uid="{51289DEA-B594-4F35-888C-DBFB1CF76D41}" name="VBA" dataDxfId="3">
      <calculatedColumnFormula>_xlfn.REGEXREPLACE(tblDeveloper[[#This Row],[Headers]], "\W", "")</calculatedColumnFormula>
    </tableColumn>
    <tableColumn id="3" xr3:uid="{E476B591-6AEB-41D5-A1ED-C9CA512725BC}" name="Enum" dataDxfId="2">
      <calculatedColumnFormula>EnumPrefix &amp; tblDeveloper[[#This Row],[VBA]] &amp; IF(ROW() = 7, " = 1", "")</calculatedColumnFormula>
    </tableColumn>
    <tableColumn id="6" xr3:uid="{69E079C1-9EEC-4C09-9C08-739ED200F1E3}" name="Variable Declaration" dataDxfId="1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0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7"/>
  <sheetViews>
    <sheetView showGridLines="0" tabSelected="1" zoomScaleNormal="100" workbookViewId="0">
      <pane ySplit="2" topLeftCell="A3" activePane="bottomLeft" state="frozen"/>
      <selection pane="bottomLeft" activeCell="I4" sqref="I4"/>
    </sheetView>
  </sheetViews>
  <sheetFormatPr baseColWidth="10" defaultRowHeight="15" x14ac:dyDescent="0.25"/>
  <cols>
    <col min="1" max="1" width="11" style="20"/>
    <col min="2" max="2" width="21.75" style="20" customWidth="1"/>
    <col min="3" max="3" width="11" style="20"/>
    <col min="4" max="4" width="11.75" style="20" customWidth="1"/>
    <col min="5" max="5" width="8.25" style="20" bestFit="1" customWidth="1"/>
    <col min="6" max="7" width="12" style="20" customWidth="1"/>
    <col min="8" max="8" width="10.875" style="20" customWidth="1"/>
    <col min="9" max="9" width="11" style="20"/>
    <col min="10" max="10" width="9.75" style="20" bestFit="1" customWidth="1"/>
    <col min="11" max="11" width="8.875" style="20" bestFit="1" customWidth="1"/>
    <col min="12" max="16384" width="11" style="20"/>
  </cols>
  <sheetData>
    <row r="1" spans="1:11" s="31" customFormat="1" ht="48" customHeight="1" x14ac:dyDescent="0.25">
      <c r="A1" s="30" t="s">
        <v>27</v>
      </c>
      <c r="D1" s="32"/>
    </row>
    <row r="2" spans="1:11" ht="48" customHeight="1" x14ac:dyDescent="0.25">
      <c r="A2" s="20" t="s">
        <v>17</v>
      </c>
      <c r="B2" s="20" t="s">
        <v>18</v>
      </c>
      <c r="C2" s="20" t="s">
        <v>26</v>
      </c>
      <c r="D2" s="20" t="s">
        <v>19</v>
      </c>
      <c r="E2" s="20" t="s">
        <v>179</v>
      </c>
      <c r="F2" s="20" t="s">
        <v>20</v>
      </c>
      <c r="G2" s="20" t="s">
        <v>25</v>
      </c>
      <c r="H2" s="20" t="s">
        <v>154</v>
      </c>
      <c r="I2" s="20" t="s">
        <v>21</v>
      </c>
      <c r="J2" s="20" t="s">
        <v>39</v>
      </c>
      <c r="K2" s="20" t="s">
        <v>28</v>
      </c>
    </row>
    <row r="3" spans="1:11" x14ac:dyDescent="0.25">
      <c r="A3" s="15">
        <v>46113</v>
      </c>
      <c r="B3" s="16" t="s">
        <v>168</v>
      </c>
      <c r="C3" s="38" t="s">
        <v>24</v>
      </c>
      <c r="D3" s="17">
        <v>1066.76</v>
      </c>
      <c r="E3" s="37">
        <v>0.19</v>
      </c>
      <c r="F3" s="18">
        <f>tblBelege[[#This Row],[Netto]]*(1+tblBelege[[#This Row],[Steuer]])</f>
        <v>1269.4443999999999</v>
      </c>
      <c r="G3" s="18" t="str">
        <f>LEFT(tblBelege[[#This Row],[Beleg-Art]], 1) &amp; TEXT(tblBelege[[#This Row],[Datum]], "JJ") &amp; "-" &amp; tblBelege[[#This Row],[Beleg-ID]]</f>
        <v>R26-11695</v>
      </c>
      <c r="H3" s="39" t="s">
        <v>136</v>
      </c>
      <c r="I3" s="19"/>
      <c r="J3" s="21">
        <v>11695</v>
      </c>
      <c r="K3" s="21">
        <f>_xlfn.XLOOKUP(tblBelege[[#This Row],[Kunde]], tblKunden[Name], tblKunden[Debitor], 0)</f>
        <v>126630</v>
      </c>
    </row>
    <row r="4" spans="1:11" x14ac:dyDescent="0.25">
      <c r="A4" s="15">
        <v>46114</v>
      </c>
      <c r="B4" s="16" t="s">
        <v>172</v>
      </c>
      <c r="C4" s="38" t="s">
        <v>24</v>
      </c>
      <c r="D4" s="17">
        <v>6466</v>
      </c>
      <c r="E4" s="37">
        <v>0</v>
      </c>
      <c r="F4" s="18">
        <f>tblBelege[[#This Row],[Netto]]*(1+tblBelege[[#This Row],[Steuer]])</f>
        <v>6466</v>
      </c>
      <c r="G4" s="18" t="str">
        <f>LEFT(tblBelege[[#This Row],[Beleg-Art]], 1) &amp; TEXT(tblBelege[[#This Row],[Datum]], "JJ") &amp; "-" &amp; tblBelege[[#This Row],[Beleg-ID]]</f>
        <v>R26-11696</v>
      </c>
      <c r="H4" s="39" t="s">
        <v>146</v>
      </c>
      <c r="I4" s="19"/>
      <c r="J4" s="21">
        <v>11696</v>
      </c>
      <c r="K4" s="21">
        <f>_xlfn.XLOOKUP(tblBelege[[#This Row],[Kunde]], tblKunden[Name], tblKunden[Debitor], 0)</f>
        <v>127068</v>
      </c>
    </row>
    <row r="5" spans="1:11" x14ac:dyDescent="0.25">
      <c r="A5" s="15">
        <v>46120</v>
      </c>
      <c r="B5" s="16" t="s">
        <v>7</v>
      </c>
      <c r="C5" s="38" t="s">
        <v>24</v>
      </c>
      <c r="D5" s="17">
        <v>2300</v>
      </c>
      <c r="E5" s="37">
        <v>0.19</v>
      </c>
      <c r="F5" s="18">
        <f>tblBelege[[#This Row],[Netto]]*(1+tblBelege[[#This Row],[Steuer]])</f>
        <v>2737</v>
      </c>
      <c r="G5" s="18" t="str">
        <f>LEFT(tblBelege[[#This Row],[Beleg-Art]], 1) &amp; TEXT(tblBelege[[#This Row],[Datum]], "JJ") &amp; "-" &amp; tblBelege[[#This Row],[Beleg-ID]]</f>
        <v>R26-11697</v>
      </c>
      <c r="H5" s="39" t="s">
        <v>132</v>
      </c>
      <c r="I5" s="19" t="s">
        <v>183</v>
      </c>
      <c r="J5" s="21">
        <v>11697</v>
      </c>
      <c r="K5" s="21">
        <f>_xlfn.XLOOKUP(tblBelege[[#This Row],[Kunde]], tblKunden[Name], tblKunden[Debitor], 0)</f>
        <v>209901</v>
      </c>
    </row>
    <row r="6" spans="1:11" x14ac:dyDescent="0.25">
      <c r="A6" s="15">
        <v>46120</v>
      </c>
      <c r="B6" s="16" t="s">
        <v>7</v>
      </c>
      <c r="C6" s="38" t="s">
        <v>24</v>
      </c>
      <c r="D6" s="17">
        <v>1000</v>
      </c>
      <c r="E6" s="37">
        <v>0.19</v>
      </c>
      <c r="F6" s="18">
        <f>tblBelege[[#This Row],[Netto]]*(1+tblBelege[[#This Row],[Steuer]])</f>
        <v>1190</v>
      </c>
      <c r="G6" s="18" t="str">
        <f>LEFT(tblBelege[[#This Row],[Beleg-Art]], 1) &amp; TEXT(tblBelege[[#This Row],[Datum]], "JJ") &amp; "-" &amp; tblBelege[[#This Row],[Beleg-ID]]</f>
        <v>R26-11698</v>
      </c>
      <c r="H6" s="39" t="s">
        <v>109</v>
      </c>
      <c r="I6" s="19"/>
      <c r="J6" s="21">
        <v>11698</v>
      </c>
      <c r="K6" s="21">
        <f>_xlfn.XLOOKUP(tblBelege[[#This Row],[Kunde]], tblKunden[Name], tblKunden[Debitor], 0)</f>
        <v>209901</v>
      </c>
    </row>
    <row r="7" spans="1:11" x14ac:dyDescent="0.25">
      <c r="A7" s="15">
        <v>46121</v>
      </c>
      <c r="B7" s="16" t="s">
        <v>7</v>
      </c>
      <c r="C7" s="38" t="s">
        <v>181</v>
      </c>
      <c r="D7" s="17">
        <v>-2300</v>
      </c>
      <c r="E7" s="37">
        <v>0.19</v>
      </c>
      <c r="F7" s="18">
        <f>tblBelege[[#This Row],[Netto]]*(1+tblBelege[[#This Row],[Steuer]])</f>
        <v>-2737</v>
      </c>
      <c r="G7" s="18" t="str">
        <f>LEFT(tblBelege[[#This Row],[Beleg-Art]], 1) &amp; TEXT(tblBelege[[#This Row],[Datum]], "JJ") &amp; "-" &amp; tblBelege[[#This Row],[Beleg-ID]]</f>
        <v>G26-11699</v>
      </c>
      <c r="H7" s="39" t="s">
        <v>109</v>
      </c>
      <c r="I7" s="19" t="s">
        <v>182</v>
      </c>
      <c r="J7" s="21">
        <v>11699</v>
      </c>
      <c r="K7" s="21">
        <f>_xlfn.XLOOKUP(tblBelege[[#This Row],[Kunde]], tblKunden[Name], tblKunden[Debitor], 0)</f>
        <v>209901</v>
      </c>
    </row>
  </sheetData>
  <conditionalFormatting sqref="K3:K7">
    <cfRule type="expression" dxfId="57" priority="4">
      <formula>$K3=0</formula>
    </cfRule>
  </conditionalFormatting>
  <conditionalFormatting sqref="A3:E7">
    <cfRule type="expression" dxfId="56" priority="3">
      <formula>$C3 = "Gutschrift"</formula>
    </cfRule>
  </conditionalFormatting>
  <conditionalFormatting sqref="G3:G7">
    <cfRule type="expression" dxfId="55" priority="5">
      <formula>OR($C3="",$J3="")</formula>
    </cfRule>
  </conditionalFormatting>
  <conditionalFormatting sqref="F3:F7">
    <cfRule type="expression" dxfId="54" priority="1">
      <formula>$F3=""</formula>
    </cfRule>
  </conditionalFormatting>
  <dataValidations count="2">
    <dataValidation type="list" allowBlank="1" showInputMessage="1" showErrorMessage="1" sqref="B3:B7" xr:uid="{ADDE9A45-B81F-4FF9-9D1E-04CFB8583E71}">
      <formula1>Kunden</formula1>
    </dataValidation>
    <dataValidation type="list" allowBlank="1" showInputMessage="1" showErrorMessage="1" sqref="C3:C7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selection activeCell="L14" sqref="L14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8" customFormat="1" ht="48" customHeight="1" x14ac:dyDescent="0.25">
      <c r="A1" s="27" t="s">
        <v>38</v>
      </c>
    </row>
    <row r="2" spans="1:14" s="20" customFormat="1" ht="48" customHeight="1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157</v>
      </c>
      <c r="F2" s="20" t="s">
        <v>105</v>
      </c>
      <c r="G2" s="20" t="s">
        <v>29</v>
      </c>
      <c r="H2" s="20" t="s">
        <v>167</v>
      </c>
      <c r="I2" s="20" t="s">
        <v>30</v>
      </c>
      <c r="J2" s="20" t="s">
        <v>31</v>
      </c>
      <c r="K2" s="20" t="s">
        <v>32</v>
      </c>
      <c r="L2" s="20" t="s">
        <v>28</v>
      </c>
      <c r="M2" s="20" t="s">
        <v>155</v>
      </c>
      <c r="N2" s="20" t="s">
        <v>156</v>
      </c>
    </row>
    <row r="3" spans="1:14" x14ac:dyDescent="0.25">
      <c r="A3" s="14" t="s">
        <v>168</v>
      </c>
      <c r="B3" s="14" t="s">
        <v>169</v>
      </c>
      <c r="C3" s="14" t="s">
        <v>170</v>
      </c>
      <c r="D3" s="14" t="s">
        <v>171</v>
      </c>
      <c r="E3" s="14"/>
      <c r="F3" s="14"/>
      <c r="G3" s="14"/>
      <c r="H3" s="14"/>
      <c r="J3" s="14"/>
      <c r="K3" s="14"/>
      <c r="L3" s="36">
        <v>126630</v>
      </c>
      <c r="M3" s="14"/>
      <c r="N3" s="14"/>
    </row>
    <row r="4" spans="1:14" x14ac:dyDescent="0.25">
      <c r="A4" s="14" t="s">
        <v>7</v>
      </c>
      <c r="B4" s="14" t="s">
        <v>163</v>
      </c>
      <c r="C4" s="14">
        <v>28329</v>
      </c>
      <c r="D4" s="14" t="s">
        <v>6</v>
      </c>
      <c r="E4" s="14"/>
      <c r="F4" s="14"/>
      <c r="G4" s="14"/>
      <c r="H4" s="14" t="s">
        <v>34</v>
      </c>
      <c r="I4" t="s">
        <v>35</v>
      </c>
      <c r="J4" s="14" t="s">
        <v>36</v>
      </c>
      <c r="K4" s="14"/>
      <c r="L4" s="36">
        <v>209901</v>
      </c>
      <c r="M4" s="14"/>
      <c r="N4" s="14"/>
    </row>
    <row r="5" spans="1:14" x14ac:dyDescent="0.25">
      <c r="A5" s="14" t="s">
        <v>4</v>
      </c>
      <c r="B5" s="14" t="s">
        <v>5</v>
      </c>
      <c r="C5" s="14">
        <v>28307</v>
      </c>
      <c r="D5" s="14" t="s">
        <v>6</v>
      </c>
      <c r="E5" s="14"/>
      <c r="F5" s="14"/>
      <c r="G5" s="14" t="s">
        <v>33</v>
      </c>
      <c r="H5" s="14"/>
      <c r="I5" t="s">
        <v>35</v>
      </c>
      <c r="J5" s="14" t="s">
        <v>37</v>
      </c>
      <c r="K5" s="14"/>
      <c r="L5" s="36">
        <v>394482</v>
      </c>
      <c r="M5" s="14"/>
      <c r="N5" s="14"/>
    </row>
    <row r="6" spans="1:14" x14ac:dyDescent="0.25">
      <c r="A6" s="14" t="s">
        <v>40</v>
      </c>
      <c r="B6" s="14" t="s">
        <v>164</v>
      </c>
      <c r="C6" s="14" t="s">
        <v>165</v>
      </c>
      <c r="D6" s="14" t="s">
        <v>166</v>
      </c>
      <c r="E6" s="14"/>
      <c r="F6" s="14"/>
      <c r="G6" s="14"/>
      <c r="H6" s="14" t="s">
        <v>69</v>
      </c>
      <c r="I6" t="s">
        <v>35</v>
      </c>
      <c r="J6" s="14" t="s">
        <v>36</v>
      </c>
      <c r="K6" s="14"/>
      <c r="L6" s="36">
        <v>111111</v>
      </c>
      <c r="M6" s="14"/>
      <c r="N6" s="14"/>
    </row>
    <row r="7" spans="1:14" x14ac:dyDescent="0.25">
      <c r="A7" s="14" t="s">
        <v>172</v>
      </c>
      <c r="B7" s="14" t="s">
        <v>173</v>
      </c>
      <c r="C7" s="14" t="s">
        <v>174</v>
      </c>
      <c r="D7" s="14" t="s">
        <v>175</v>
      </c>
      <c r="E7" s="14"/>
      <c r="F7" s="14"/>
      <c r="G7" s="14"/>
      <c r="H7" s="14"/>
      <c r="J7" s="14"/>
      <c r="K7" s="14"/>
      <c r="L7" s="36">
        <v>127068</v>
      </c>
      <c r="M7" s="14"/>
      <c r="N7" s="14"/>
    </row>
  </sheetData>
  <conditionalFormatting sqref="L3:L7">
    <cfRule type="expression" dxfId="40" priority="2">
      <formula>OR(ISBLANK($L3),$L3&lt;10000)</formula>
    </cfRule>
  </conditionalFormatting>
  <conditionalFormatting sqref="A3:A7">
    <cfRule type="duplicateValues" dxfId="39" priority="1"/>
  </conditionalFormatting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7"/>
  <sheetViews>
    <sheetView workbookViewId="0">
      <selection activeCell="C26" sqref="C26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4" customFormat="1" ht="48" customHeight="1" x14ac:dyDescent="0.25">
      <c r="A1" s="35" t="s">
        <v>158</v>
      </c>
      <c r="B1" s="33"/>
    </row>
    <row r="2" spans="1:3" ht="48" customHeight="1" x14ac:dyDescent="0.25">
      <c r="A2" s="23" t="s">
        <v>41</v>
      </c>
      <c r="B2" s="23" t="s">
        <v>75</v>
      </c>
      <c r="C2" s="23" t="s">
        <v>42</v>
      </c>
    </row>
    <row r="3" spans="1:3" x14ac:dyDescent="0.25">
      <c r="A3" s="9" t="s">
        <v>43</v>
      </c>
      <c r="B3" s="9" t="s">
        <v>76</v>
      </c>
      <c r="C3" s="24" t="s">
        <v>180</v>
      </c>
    </row>
    <row r="4" spans="1:3" x14ac:dyDescent="0.25">
      <c r="A4" s="9" t="s">
        <v>161</v>
      </c>
      <c r="B4" s="9" t="s">
        <v>162</v>
      </c>
      <c r="C4" s="9">
        <v>12001</v>
      </c>
    </row>
    <row r="5" spans="1:3" x14ac:dyDescent="0.25">
      <c r="A5" s="9" t="s">
        <v>176</v>
      </c>
      <c r="B5" s="9" t="s">
        <v>77</v>
      </c>
      <c r="C5" s="9">
        <v>10001</v>
      </c>
    </row>
    <row r="6" spans="1:3" x14ac:dyDescent="0.25">
      <c r="A6" s="9" t="s">
        <v>177</v>
      </c>
      <c r="B6" s="9" t="s">
        <v>178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5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6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B26" sqref="B26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10.75" style="9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9" customFormat="1" ht="48" customHeight="1" x14ac:dyDescent="0.25">
      <c r="A1" s="29" t="s">
        <v>100</v>
      </c>
    </row>
    <row r="2" spans="1:7" ht="48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9"/>
  <sheetViews>
    <sheetView workbookViewId="0">
      <selection activeCell="D30" sqref="D30"/>
    </sheetView>
  </sheetViews>
  <sheetFormatPr baseColWidth="10" defaultRowHeight="15" x14ac:dyDescent="0.25"/>
  <cols>
    <col min="1" max="1" width="15.625" customWidth="1"/>
    <col min="2" max="2" width="14.25" customWidth="1"/>
    <col min="3" max="3" width="17.25" customWidth="1"/>
    <col min="4" max="4" width="21.25" customWidth="1"/>
    <col min="5" max="5" width="34.875" customWidth="1"/>
    <col min="6" max="6" width="48.75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159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2"/>
      <c r="E5" s="13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20" t="s">
        <v>0</v>
      </c>
      <c r="B7" s="10"/>
      <c r="C7" s="11" t="str">
        <f>_xlfn.REGEXREPLACE(tblDeveloper[[#This Row],[Headers]], "\W", "")</f>
        <v>Name</v>
      </c>
      <c r="D7" s="12" t="str">
        <f>EnumPrefix &amp; tblDeveloper[[#This Row],[VBA]] &amp; IF(ROW() = 7, " = 1", "")</f>
        <v>xkdName = 1</v>
      </c>
      <c r="E7" s="12" t="str">
        <f xml:space="preserve"> IF(ISBLANK(VariablePrefix), "", VariablePrefix &amp; " ") &amp; tblDeveloper[[#This Row],[VBA]] &amp; " As " &amp; IF(ISBLANK(tblDeveloper[[#This Row],[Type]]), "String", tblDeveloper[[#This Row],[Type]])</f>
        <v>Public Name As String</v>
      </c>
      <c r="F7" s="12" t="str">
        <f>tblDeveloper[[#This Row],[VBA]] &amp; " = " &amp; "values(1, " &amp; EnumPrefix &amp; tblDeveloper[[#This Row],[VBA]] &amp; ")"</f>
        <v>Name = values(1, xkdName)</v>
      </c>
    </row>
    <row r="8" spans="1:6" x14ac:dyDescent="0.25">
      <c r="A8" s="20" t="s">
        <v>1</v>
      </c>
      <c r="B8" s="10"/>
      <c r="C8" s="11" t="str">
        <f>_xlfn.REGEXREPLACE(tblDeveloper[[#This Row],[Headers]], "\W", "")</f>
        <v>Strasse</v>
      </c>
      <c r="D8" s="12" t="str">
        <f>EnumPrefix &amp; tblDeveloper[[#This Row],[VBA]] &amp; IF(ROW() = 7, " = 1", "")</f>
        <v>xkdStrasse</v>
      </c>
      <c r="E8" s="12" t="str">
        <f xml:space="preserve"> IF(ISBLANK(VariablePrefix), "", VariablePrefix &amp; " ") &amp; tblDeveloper[[#This Row],[VBA]] &amp; " As " &amp; IF(ISBLANK(tblDeveloper[[#This Row],[Type]]), "String", tblDeveloper[[#This Row],[Type]])</f>
        <v>Public Strasse As String</v>
      </c>
      <c r="F8" s="12" t="str">
        <f>tblDeveloper[[#This Row],[VBA]] &amp; " = " &amp; "values(1, " &amp; EnumPrefix &amp; tblDeveloper[[#This Row],[VBA]] &amp; ")"</f>
        <v>Strasse = values(1, xkdStrasse)</v>
      </c>
    </row>
    <row r="9" spans="1:6" x14ac:dyDescent="0.25">
      <c r="A9" s="20" t="s">
        <v>2</v>
      </c>
      <c r="B9" s="10"/>
      <c r="C9" s="11" t="str">
        <f>_xlfn.REGEXREPLACE(tblDeveloper[[#This Row],[Headers]], "\W", "")</f>
        <v>PLZ</v>
      </c>
      <c r="D9" s="12" t="str">
        <f>EnumPrefix &amp; tblDeveloper[[#This Row],[VBA]] &amp; IF(ROW() = 7, " = 1", "")</f>
        <v>xkdPLZ</v>
      </c>
      <c r="E9" s="12" t="str">
        <f xml:space="preserve"> IF(ISBLANK(VariablePrefix), "", VariablePrefix &amp; " ") &amp; tblDeveloper[[#This Row],[VBA]] &amp; " As " &amp; IF(ISBLANK(tblDeveloper[[#This Row],[Type]]), "String", tblDeveloper[[#This Row],[Type]])</f>
        <v>Public PLZ As String</v>
      </c>
      <c r="F9" s="12" t="str">
        <f>tblDeveloper[[#This Row],[VBA]] &amp; " = " &amp; "values(1, " &amp; EnumPrefix &amp; tblDeveloper[[#This Row],[VBA]] &amp; ")"</f>
        <v>PLZ = values(1, xkdPLZ)</v>
      </c>
    </row>
    <row r="10" spans="1:6" x14ac:dyDescent="0.25">
      <c r="A10" s="20" t="s">
        <v>3</v>
      </c>
      <c r="B10" s="10"/>
      <c r="C10" s="11" t="str">
        <f>_xlfn.REGEXREPLACE(tblDeveloper[[#This Row],[Headers]], "\W", "")</f>
        <v>Ort</v>
      </c>
      <c r="D10" s="12" t="str">
        <f>EnumPrefix &amp; tblDeveloper[[#This Row],[VBA]] &amp; IF(ROW() = 7, " = 1", "")</f>
        <v>xkdOrt</v>
      </c>
      <c r="E10" s="12" t="str">
        <f xml:space="preserve"> IF(ISBLANK(VariablePrefix), "", VariablePrefix &amp; " ") &amp; tblDeveloper[[#This Row],[VBA]] &amp; " As " &amp; IF(ISBLANK(tblDeveloper[[#This Row],[Type]]), "String", tblDeveloper[[#This Row],[Type]])</f>
        <v>Public Ort As String</v>
      </c>
      <c r="F10" s="12" t="str">
        <f>tblDeveloper[[#This Row],[VBA]] &amp; " = " &amp; "values(1, " &amp; EnumPrefix &amp; tblDeveloper[[#This Row],[VBA]] &amp; ")"</f>
        <v>Ort = values(1, xkdOrt)</v>
      </c>
    </row>
    <row r="11" spans="1:6" x14ac:dyDescent="0.25">
      <c r="A11" s="20" t="s">
        <v>157</v>
      </c>
      <c r="B11" s="10"/>
      <c r="C11" s="11" t="str">
        <f>_xlfn.REGEXREPLACE(tblDeveloper[[#This Row],[Headers]], "\W", "")</f>
        <v>Asp</v>
      </c>
      <c r="D11" s="12" t="str">
        <f>EnumPrefix &amp; tblDeveloper[[#This Row],[VBA]] &amp; IF(ROW() = 7, " = 1", "")</f>
        <v>xkdAsp</v>
      </c>
      <c r="E11" s="12" t="str">
        <f xml:space="preserve"> IF(ISBLANK(VariablePrefix), "", VariablePrefix &amp; " ") &amp; tblDeveloper[[#This Row],[VBA]] &amp; " As " &amp; IF(ISBLANK(tblDeveloper[[#This Row],[Type]]), "String", tblDeveloper[[#This Row],[Type]])</f>
        <v>Public Asp As String</v>
      </c>
      <c r="F11" s="12" t="str">
        <f>tblDeveloper[[#This Row],[VBA]] &amp; " = " &amp; "values(1, " &amp; EnumPrefix &amp; tblDeveloper[[#This Row],[VBA]] &amp; ")"</f>
        <v>Asp = values(1, xkdAsp)</v>
      </c>
    </row>
    <row r="12" spans="1:6" x14ac:dyDescent="0.25">
      <c r="A12" s="20" t="s">
        <v>105</v>
      </c>
      <c r="B12" s="10"/>
      <c r="C12" s="11" t="str">
        <f>_xlfn.REGEXREPLACE(tblDeveloper[[#This Row],[Headers]], "\W", "")</f>
        <v>Telefon</v>
      </c>
      <c r="D12" s="12" t="str">
        <f>EnumPrefix &amp; tblDeveloper[[#This Row],[VBA]] &amp; IF(ROW() = 7, " = 1", "")</f>
        <v>xkdTelefon</v>
      </c>
      <c r="E12" s="12" t="str">
        <f xml:space="preserve"> IF(ISBLANK(VariablePrefix), "", VariablePrefix &amp; " ") &amp; tblDeveloper[[#This Row],[VBA]] &amp; " As " &amp; IF(ISBLANK(tblDeveloper[[#This Row],[Type]]), "String", tblDeveloper[[#This Row],[Type]])</f>
        <v>Public Telefon As String</v>
      </c>
      <c r="F12" s="12" t="str">
        <f>tblDeveloper[[#This Row],[VBA]] &amp; " = " &amp; "values(1, " &amp; EnumPrefix &amp; tblDeveloper[[#This Row],[VBA]] &amp; ")"</f>
        <v>Telefon = values(1, xkdTelefon)</v>
      </c>
    </row>
    <row r="13" spans="1:6" x14ac:dyDescent="0.25">
      <c r="A13" s="20" t="s">
        <v>29</v>
      </c>
      <c r="B13" s="10"/>
      <c r="C13" s="11" t="str">
        <f>_xlfn.REGEXREPLACE(tblDeveloper[[#This Row],[Headers]], "\W", "")</f>
        <v>Email</v>
      </c>
      <c r="D13" s="12" t="str">
        <f>EnumPrefix &amp; tblDeveloper[[#This Row],[VBA]] &amp; IF(ROW() = 7, " = 1", "")</f>
        <v>xkdEmail</v>
      </c>
      <c r="E13" s="12" t="str">
        <f xml:space="preserve"> IF(ISBLANK(VariablePrefix), "", VariablePrefix &amp; " ") &amp; tblDeveloper[[#This Row],[VBA]] &amp; " As " &amp; IF(ISBLANK(tblDeveloper[[#This Row],[Type]]), "String", tblDeveloper[[#This Row],[Type]])</f>
        <v>Public Email As String</v>
      </c>
      <c r="F13" s="12" t="str">
        <f>tblDeveloper[[#This Row],[VBA]] &amp; " = " &amp; "values(1, " &amp; EnumPrefix &amp; tblDeveloper[[#This Row],[VBA]] &amp; ")"</f>
        <v>Email = values(1, xkdEmail)</v>
      </c>
    </row>
    <row r="14" spans="1:6" x14ac:dyDescent="0.25">
      <c r="A14" s="20" t="s">
        <v>30</v>
      </c>
      <c r="B14" s="10"/>
      <c r="C14" s="11" t="str">
        <f>_xlfn.REGEXREPLACE(tblDeveloper[[#This Row],[Headers]], "\W", "")</f>
        <v>Bank</v>
      </c>
      <c r="D14" s="12" t="str">
        <f>EnumPrefix &amp; tblDeveloper[[#This Row],[VBA]] &amp; IF(ROW() = 7, " = 1", "")</f>
        <v>xkdBank</v>
      </c>
      <c r="E14" s="12" t="str">
        <f xml:space="preserve"> IF(ISBLANK(VariablePrefix), "", VariablePrefix &amp; " ") &amp; tblDeveloper[[#This Row],[VBA]] &amp; " As " &amp; IF(ISBLANK(tblDeveloper[[#This Row],[Type]]), "String", tblDeveloper[[#This Row],[Type]])</f>
        <v>Public Bank As String</v>
      </c>
      <c r="F14" s="12" t="str">
        <f>tblDeveloper[[#This Row],[VBA]] &amp; " = " &amp; "values(1, " &amp; EnumPrefix &amp; tblDeveloper[[#This Row],[VBA]] &amp; ")"</f>
        <v>Bank = values(1, xkdBank)</v>
      </c>
    </row>
    <row r="15" spans="1:6" x14ac:dyDescent="0.25">
      <c r="A15" s="20" t="s">
        <v>31</v>
      </c>
      <c r="B15" s="10"/>
      <c r="C15" s="11" t="str">
        <f>_xlfn.REGEXREPLACE(tblDeveloper[[#This Row],[Headers]], "\W", "")</f>
        <v>IBAN</v>
      </c>
      <c r="D15" s="12" t="str">
        <f>EnumPrefix &amp; tblDeveloper[[#This Row],[VBA]] &amp; IF(ROW() = 7, " = 1", "")</f>
        <v>xkdIBAN</v>
      </c>
      <c r="E15" s="12" t="str">
        <f xml:space="preserve"> IF(ISBLANK(VariablePrefix), "", VariablePrefix &amp; " ") &amp; tblDeveloper[[#This Row],[VBA]] &amp; " As " &amp; IF(ISBLANK(tblDeveloper[[#This Row],[Type]]), "String", tblDeveloper[[#This Row],[Type]])</f>
        <v>Public IBAN As String</v>
      </c>
      <c r="F15" s="12" t="str">
        <f>tblDeveloper[[#This Row],[VBA]] &amp; " = " &amp; "values(1, " &amp; EnumPrefix &amp; tblDeveloper[[#This Row],[VBA]] &amp; ")"</f>
        <v>IBAN = values(1, xkdIBAN)</v>
      </c>
    </row>
    <row r="16" spans="1:6" x14ac:dyDescent="0.25">
      <c r="A16" s="20" t="s">
        <v>32</v>
      </c>
      <c r="B16" s="10"/>
      <c r="C16" s="11" t="str">
        <f>_xlfn.REGEXREPLACE(tblDeveloper[[#This Row],[Headers]], "\W", "")</f>
        <v>BIC</v>
      </c>
      <c r="D16" s="12" t="str">
        <f>EnumPrefix &amp; tblDeveloper[[#This Row],[VBA]] &amp; IF(ROW() = 7, " = 1", "")</f>
        <v>xkdBIC</v>
      </c>
      <c r="E16" s="12" t="str">
        <f xml:space="preserve"> IF(ISBLANK(VariablePrefix), "", VariablePrefix &amp; " ") &amp; tblDeveloper[[#This Row],[VBA]] &amp; " As " &amp; IF(ISBLANK(tblDeveloper[[#This Row],[Type]]), "String", tblDeveloper[[#This Row],[Type]])</f>
        <v>Public BIC As String</v>
      </c>
      <c r="F16" s="12" t="str">
        <f>tblDeveloper[[#This Row],[VBA]] &amp; " = " &amp; "values(1, " &amp; EnumPrefix &amp; tblDeveloper[[#This Row],[VBA]] &amp; ")"</f>
        <v>BIC = values(1, xkdBIC)</v>
      </c>
    </row>
    <row r="17" spans="1:6" x14ac:dyDescent="0.25">
      <c r="A17" s="20" t="s">
        <v>28</v>
      </c>
      <c r="B17" s="10" t="s">
        <v>160</v>
      </c>
      <c r="C17" s="11" t="str">
        <f>_xlfn.REGEXREPLACE(tblDeveloper[[#This Row],[Headers]], "\W", "")</f>
        <v>Debitor</v>
      </c>
      <c r="D17" s="12" t="str">
        <f>EnumPrefix &amp; tblDeveloper[[#This Row],[VBA]] &amp; IF(ROW() = 7, " = 1", "")</f>
        <v>xkdDebitor</v>
      </c>
      <c r="E17" s="12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Double</v>
      </c>
      <c r="F17" s="12" t="str">
        <f>tblDeveloper[[#This Row],[VBA]] &amp; " = " &amp; "values(1, " &amp; EnumPrefix &amp; tblDeveloper[[#This Row],[VBA]] &amp; ")"</f>
        <v>Debitor = values(1, xkdDebitor)</v>
      </c>
    </row>
    <row r="18" spans="1:6" x14ac:dyDescent="0.25">
      <c r="A18" s="20" t="s">
        <v>155</v>
      </c>
      <c r="B18" s="10"/>
      <c r="C18" s="11" t="str">
        <f>_xlfn.REGEXREPLACE(tblDeveloper[[#This Row],[Headers]], "\W", "")</f>
        <v>HR</v>
      </c>
      <c r="D18" s="12" t="str">
        <f>EnumPrefix &amp; tblDeveloper[[#This Row],[VBA]] &amp; IF(ROW() = 7, " = 1", "")</f>
        <v>xkdHR</v>
      </c>
      <c r="E18" s="12" t="str">
        <f xml:space="preserve"> IF(ISBLANK(VariablePrefix), "", VariablePrefix &amp; " ") &amp; tblDeveloper[[#This Row],[VBA]] &amp; " As " &amp; IF(ISBLANK(tblDeveloper[[#This Row],[Type]]), "String", tblDeveloper[[#This Row],[Type]])</f>
        <v>Public HR As String</v>
      </c>
      <c r="F18" s="12" t="str">
        <f>tblDeveloper[[#This Row],[VBA]] &amp; " = " &amp; "values(1, " &amp; EnumPrefix &amp; tblDeveloper[[#This Row],[VBA]] &amp; ")"</f>
        <v>HR = values(1, xkdHR)</v>
      </c>
    </row>
    <row r="19" spans="1:6" x14ac:dyDescent="0.25">
      <c r="A19" s="20" t="s">
        <v>156</v>
      </c>
      <c r="B19" s="10"/>
      <c r="C19" s="11" t="str">
        <f>_xlfn.REGEXREPLACE(tblDeveloper[[#This Row],[Headers]], "\W", "")</f>
        <v>UStId</v>
      </c>
      <c r="D19" s="12" t="str">
        <f>EnumPrefix &amp; tblDeveloper[[#This Row],[VBA]] &amp; IF(ROW() = 7, " = 1", "")</f>
        <v>xkdUStId</v>
      </c>
      <c r="E19" s="12" t="str">
        <f xml:space="preserve"> IF(ISBLANK(VariablePrefix), "", VariablePrefix &amp; " ") &amp; tblDeveloper[[#This Row],[VBA]] &amp; " As " &amp; IF(ISBLANK(tblDeveloper[[#This Row],[Type]]), "String", tblDeveloper[[#This Row],[Type]])</f>
        <v>Public UStId As String</v>
      </c>
      <c r="F19" s="12" t="str">
        <f>tblDeveloper[[#This Row],[VBA]] &amp; " = " &amp; "values(1, " &amp; EnumPrefix &amp; tblDeveloper[[#This Row],[VBA]] &amp; ")"</f>
        <v>UStId = values(1, xkdUStId)</v>
      </c>
    </row>
  </sheetData>
  <phoneticPr fontId="5" type="noConversion"/>
  <dataValidations count="2">
    <dataValidation type="list" allowBlank="1" showInputMessage="1" showErrorMessage="1" sqref="B7:B19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Belege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2026-04-10T09:42:59Z</dcterms:modified>
</cp:coreProperties>
</file>