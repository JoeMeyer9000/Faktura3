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54D81F69-0EBB-480D-A234-C27C711950E4}" xr6:coauthVersionLast="47" xr6:coauthVersionMax="47" xr10:uidLastSave="{00000000-0000-0000-0000-000000000000}"/>
  <bookViews>
    <workbookView xWindow="-120" yWindow="-120" windowWidth="38640" windowHeight="21120" activeTab="5" xr2:uid="{64143F3B-F55A-4F95-93B2-978304612C97}"/>
  </bookViews>
  <sheets>
    <sheet name="Belege" sheetId="3" r:id="rId1"/>
    <sheet name="Bestellungen" sheetId="4" r:id="rId2"/>
    <sheet name="Kunden" sheetId="5" r:id="rId3"/>
    <sheet name="Benutzer" sheetId="7" r:id="rId4"/>
    <sheet name="Optionen" sheetId="6" r:id="rId5"/>
    <sheet name="Developer" sheetId="8" r:id="rId6"/>
    <sheet name="Anmeldung" sheetId="10" state="veryHidden" r:id="rId7"/>
  </sheets>
  <functionGroups builtInGroupCount="19"/>
  <definedNames>
    <definedName name="_xleta.IF" hidden="1" xlm="1">#NAME?</definedName>
    <definedName name="DevEnumPrefix">Developer!$B$3</definedName>
    <definedName name="DevVarPrefix">Developer!$B$4</definedName>
    <definedName name="Kunden">tblKunden[Name]</definedName>
    <definedName name="UserKurz">tblBenutzer[Kürzel]</definedName>
    <definedName name="Usernames">tblBenutzer[Benutzer]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1" i="8" l="1"/>
  <c r="C8" i="8"/>
  <c r="C9" i="8"/>
  <c r="C10" i="8"/>
  <c r="G3" i="3"/>
  <c r="H3" i="3"/>
  <c r="J3" i="3"/>
  <c r="L3" i="3"/>
  <c r="C7" i="8"/>
  <c r="D11" i="8" l="1"/>
  <c r="E11" i="8"/>
  <c r="F11" i="8"/>
  <c r="F8" i="8"/>
  <c r="E8" i="8"/>
  <c r="D8" i="8"/>
  <c r="E9" i="8"/>
  <c r="F9" i="8"/>
  <c r="D9" i="8"/>
  <c r="D10" i="8"/>
  <c r="E10" i="8"/>
  <c r="F10" i="8"/>
  <c r="F7" i="8"/>
  <c r="E7" i="8"/>
  <c r="D7" i="8"/>
</calcChain>
</file>

<file path=xl/sharedStrings.xml><?xml version="1.0" encoding="utf-8"?>
<sst xmlns="http://schemas.openxmlformats.org/spreadsheetml/2006/main" count="226" uniqueCount="201">
  <si>
    <t>Name</t>
  </si>
  <si>
    <t>Strasse</t>
  </si>
  <si>
    <t>Ort</t>
  </si>
  <si>
    <t>Bremen</t>
  </si>
  <si>
    <t>TalkServ GmbH</t>
  </si>
  <si>
    <t>Thalenhorststr. 15a</t>
  </si>
  <si>
    <t>Datum</t>
  </si>
  <si>
    <t>Netto</t>
  </si>
  <si>
    <t>Steuer</t>
  </si>
  <si>
    <t>Brutto</t>
  </si>
  <si>
    <t>Referenz</t>
  </si>
  <si>
    <t>Debitor</t>
  </si>
  <si>
    <t>Rechnung</t>
  </si>
  <si>
    <t>X</t>
  </si>
  <si>
    <t>Belege</t>
  </si>
  <si>
    <t>Beleg-Art</t>
  </si>
  <si>
    <t>Beleg-Nr.</t>
  </si>
  <si>
    <t>Mitarbeiter</t>
  </si>
  <si>
    <t>FA</t>
  </si>
  <si>
    <t>RD</t>
  </si>
  <si>
    <t>FT</t>
  </si>
  <si>
    <t>JM</t>
  </si>
  <si>
    <t>Bestellt</t>
  </si>
  <si>
    <t>IMEI</t>
  </si>
  <si>
    <t>Gerät</t>
  </si>
  <si>
    <t>Einkaufspreis</t>
  </si>
  <si>
    <t>Hardware Bonus</t>
  </si>
  <si>
    <t>Bestell-Nr.</t>
  </si>
  <si>
    <t>Rech.-Nr.</t>
  </si>
  <si>
    <t>Empfänger versendet</t>
  </si>
  <si>
    <t>Empfänger</t>
  </si>
  <si>
    <t>Empfänger Rufnummer</t>
  </si>
  <si>
    <t>Empfänger Zuzahlung</t>
  </si>
  <si>
    <t>Ertrag</t>
  </si>
  <si>
    <t>KK Update</t>
  </si>
  <si>
    <t>Eingegeben</t>
  </si>
  <si>
    <t>Eingegeben für</t>
  </si>
  <si>
    <t>Eingegeben für Rufnummer</t>
  </si>
  <si>
    <t>Bemerkungen</t>
  </si>
  <si>
    <t>Meyer, Joachim</t>
  </si>
  <si>
    <t>Gürkan Eris</t>
  </si>
  <si>
    <t>Kunden</t>
  </si>
  <si>
    <t>PLZ</t>
  </si>
  <si>
    <t>Asp</t>
  </si>
  <si>
    <t>Telefon</t>
  </si>
  <si>
    <t>Email</t>
  </si>
  <si>
    <t>Rech.-Email</t>
  </si>
  <si>
    <t>Bank</t>
  </si>
  <si>
    <t>IBAN</t>
  </si>
  <si>
    <t>BIC</t>
  </si>
  <si>
    <t>HR</t>
  </si>
  <si>
    <t>USt-Id</t>
  </si>
  <si>
    <t>info@talkserv.de</t>
  </si>
  <si>
    <t>DE20 2915 2670 0020 9095 60</t>
  </si>
  <si>
    <t>joe@talkserv.de</t>
  </si>
  <si>
    <t>Optionen</t>
  </si>
  <si>
    <t>Einstellung</t>
  </si>
  <si>
    <t>Index</t>
  </si>
  <si>
    <t>Wert</t>
  </si>
  <si>
    <t>Version</t>
  </si>
  <si>
    <t>xoptVersion</t>
  </si>
  <si>
    <t>3.0</t>
  </si>
  <si>
    <t>Kleinste Debitor-Nummer</t>
  </si>
  <si>
    <t>xoptMinDebitor</t>
  </si>
  <si>
    <t>Kleinste Rechnungs-ID</t>
  </si>
  <si>
    <t>xoptMinRechNr</t>
  </si>
  <si>
    <t>Kleinste Bestell-ID</t>
  </si>
  <si>
    <t>xoptMinBestellNr</t>
  </si>
  <si>
    <t>Rechnungsvorlage</t>
  </si>
  <si>
    <t>xoptTemplate</t>
  </si>
  <si>
    <t>Template.xltx</t>
  </si>
  <si>
    <t>Fällig (Tage)</t>
  </si>
  <si>
    <t>xoptDefaultDue</t>
  </si>
  <si>
    <t>Standard Steuersatz</t>
  </si>
  <si>
    <t>xoptDefaultTax</t>
  </si>
  <si>
    <t>Firma Name</t>
  </si>
  <si>
    <t>xoptFirmaName</t>
  </si>
  <si>
    <t>Firma Strasse</t>
  </si>
  <si>
    <t>xoptFirmaStrasse</t>
  </si>
  <si>
    <t>Firma PLZ</t>
  </si>
  <si>
    <t>xoptFirmaPLZ</t>
  </si>
  <si>
    <t>Firma Ort</t>
  </si>
  <si>
    <t>xoptFirmaOrt</t>
  </si>
  <si>
    <t>Firma Bank</t>
  </si>
  <si>
    <t>xoptFirmaBank</t>
  </si>
  <si>
    <t>Kreissparkasse Verden</t>
  </si>
  <si>
    <t>Firma IBAN</t>
  </si>
  <si>
    <t>xoptFirmaIBAN</t>
  </si>
  <si>
    <t>Firma BIC</t>
  </si>
  <si>
    <t>xoptFirmaBIC</t>
  </si>
  <si>
    <t>BRLADE21VER</t>
  </si>
  <si>
    <t>Firma UStID</t>
  </si>
  <si>
    <t>xoptFirmaUStID</t>
  </si>
  <si>
    <t>DE261520925</t>
  </si>
  <si>
    <t>Firma HR</t>
  </si>
  <si>
    <t>xoptFirmaHR</t>
  </si>
  <si>
    <t>Amtsgericht Bremen HRB 25136 HB</t>
  </si>
  <si>
    <t>Firma Telefon</t>
  </si>
  <si>
    <t>xoptFirmaTelefon</t>
  </si>
  <si>
    <t>0421 - 221 592 00</t>
  </si>
  <si>
    <t>Firma Email</t>
  </si>
  <si>
    <t>xoptFirmaEmail</t>
  </si>
  <si>
    <t>Firma Ansprechpartner</t>
  </si>
  <si>
    <t>xoptFirmaAsp</t>
  </si>
  <si>
    <t>Verwaltung</t>
  </si>
  <si>
    <t>Domain</t>
  </si>
  <si>
    <t>xoptFirmaDomain</t>
  </si>
  <si>
    <t>talkserv.de</t>
  </si>
  <si>
    <t>Gutschrift-Text</t>
  </si>
  <si>
    <t>xoptGutschriftText</t>
  </si>
  <si>
    <t>Gutschrift zur Nebenabrede</t>
  </si>
  <si>
    <t>Gutschrift-Betrag</t>
  </si>
  <si>
    <t>xoptGutschriftBetrag</t>
  </si>
  <si>
    <t>Gutschrift als BCC an</t>
  </si>
  <si>
    <t>xoptGutschriftBCC</t>
  </si>
  <si>
    <t>Bestätigung ab n Zeilen</t>
  </si>
  <si>
    <t>xoptConfirmThreshold</t>
  </si>
  <si>
    <t>Manual</t>
  </si>
  <si>
    <t>xoptManual</t>
  </si>
  <si>
    <t>Faktura Manual.pdf</t>
  </si>
  <si>
    <t>Buchhaltung Email</t>
  </si>
  <si>
    <t>xoptBuHaEmail</t>
  </si>
  <si>
    <t>annika.behrens@dhpg.de</t>
  </si>
  <si>
    <t>Buchhaltung Anrede</t>
  </si>
  <si>
    <t>xoptBuHaAnrede</t>
  </si>
  <si>
    <t>Frau Behrens</t>
  </si>
  <si>
    <t>Benutzer</t>
  </si>
  <si>
    <t>Nachname</t>
  </si>
  <si>
    <t>Vorname</t>
  </si>
  <si>
    <t>Kürzel</t>
  </si>
  <si>
    <t>Titel</t>
  </si>
  <si>
    <t>Joachim Meyer</t>
  </si>
  <si>
    <t>Meyer</t>
  </si>
  <si>
    <t>Joachim</t>
  </si>
  <si>
    <t>Geschäftsführer</t>
  </si>
  <si>
    <t>0170-5740122</t>
  </si>
  <si>
    <t>joachim.meyer@talkserv.de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</si>
  <si>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</si>
  <si>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</si>
  <si>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</si>
  <si>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</si>
  <si>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</si>
  <si>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</si>
  <si>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</si>
  <si>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</si>
  <si>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</si>
  <si>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</si>
  <si>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</si>
  <si>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</si>
  <si>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</si>
  <si>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</si>
  <si>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</si>
  <si>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</si>
  <si>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</si>
  <si>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</si>
  <si>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fatma.timur@talkserv.de</t>
  </si>
  <si>
    <t>Fatma Abtekin</t>
  </si>
  <si>
    <t>Abtekin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</si>
  <si>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</si>
  <si>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</si>
  <si>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</si>
  <si>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</si>
  <si>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</si>
  <si>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</si>
  <si>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</si>
  <si>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</si>
  <si>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</si>
  <si>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reyhan.demirtas@talkserv.de</t>
  </si>
  <si>
    <t>Theresa Boos</t>
  </si>
  <si>
    <t>Boos</t>
  </si>
  <si>
    <t>Theresa</t>
  </si>
  <si>
    <t>TB</t>
  </si>
  <si>
    <t>theresa.boos@talkserv.de</t>
  </si>
  <si>
    <t>Developer Sheet</t>
  </si>
  <si>
    <t>Enums Prefix</t>
  </si>
  <si>
    <t>Variables Prefix</t>
  </si>
  <si>
    <t>Public</t>
  </si>
  <si>
    <t>Paste via Transpose</t>
  </si>
  <si>
    <t>Variable type
empty=String</t>
  </si>
  <si>
    <t>Headers</t>
  </si>
  <si>
    <t>Aktiv</t>
  </si>
  <si>
    <t>Bestellungen</t>
  </si>
  <si>
    <t>Periode</t>
  </si>
  <si>
    <t>Kundenname</t>
  </si>
  <si>
    <t>Types</t>
  </si>
  <si>
    <t>VBA Names</t>
  </si>
  <si>
    <t>Class Enums</t>
  </si>
  <si>
    <t>Var-Declarations</t>
  </si>
  <si>
    <t>Assignments</t>
  </si>
  <si>
    <t>ME Servis AS</t>
  </si>
  <si>
    <t>Testkunde Alpha</t>
  </si>
  <si>
    <t>Mistkäfer GbR</t>
  </si>
  <si>
    <t>Beleg-Id</t>
  </si>
  <si>
    <t>Admin</t>
  </si>
  <si>
    <t>Link</t>
  </si>
  <si>
    <t>Date</t>
  </si>
  <si>
    <t>Long</t>
  </si>
  <si>
    <t>Karteikarte</t>
  </si>
  <si>
    <t>Size</t>
  </si>
  <si>
    <t>Fullname</t>
  </si>
  <si>
    <t>xfli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</si>
</sst>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9" x14ac:knownFonts="1">
    <font>
      <sz val="11"/>
      <color theme="1"/>
      <name val="Aptos Display"/>
      <family val="2"/>
    </font>
    <font>
      <sz val="11"/>
      <color theme="1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1" tint="0.249977111117893"/>
      <name val="Aptos Display"/>
      <family val="2"/>
    </font>
    <font>
      <sz val="20"/>
      <color theme="1"/>
      <name val="Aptos Display"/>
      <family val="2"/>
    </font>
    <font>
      <b/>
      <sz val="16"/>
      <color theme="0"/>
      <name val="Aptos Display"/>
      <family val="2"/>
    </font>
    <font>
      <sz val="11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u/>
      <sz val="11"/>
      <color theme="10"/>
      <name val="Aptos Display"/>
      <family val="2"/>
    </font>
    <font>
      <sz val="8"/>
      <name val="Aptos Display"/>
      <family val="2"/>
    </font>
    <font>
      <sz val="11"/>
      <color theme="1"/>
      <name val="Aptos Narrow"/>
      <family val="2"/>
      <scheme val="minor"/>
    </font>
    <font>
      <sz val="20"/>
      <color theme="8" tint="-0.499984740745262"/>
      <name val="Aptos Display"/>
      <family val="2"/>
      <scheme val="major"/>
    </font>
    <font>
      <sz val="11"/>
      <color theme="1"/>
      <name val="Aptos Display"/>
      <family val="2"/>
      <scheme val="maj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DFFED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/>
    </xf>
    <xf numFmtId="14" fontId="4" fillId="3" borderId="0" xfId="0" applyNumberFormat="1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14" fontId="5" fillId="3" borderId="0" xfId="0" applyNumberFormat="1" applyFont="1" applyFill="1" applyAlignment="1">
      <alignment horizontal="left" vertical="center"/>
    </xf>
    <xf numFmtId="0" fontId="0" fillId="3" borderId="0" xfId="0" applyFill="1" applyAlignment="1">
      <alignment vertical="center"/>
    </xf>
    <xf numFmtId="14" fontId="5" fillId="0" borderId="0" xfId="0" applyNumberFormat="1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14" fontId="5" fillId="0" borderId="0" xfId="0" applyNumberFormat="1" applyFont="1" applyAlignment="1">
      <alignment horizontal="left" vertical="top"/>
    </xf>
    <xf numFmtId="1" fontId="5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left" vertical="top"/>
    </xf>
    <xf numFmtId="164" fontId="5" fillId="0" borderId="0" xfId="0" applyNumberFormat="1" applyFont="1" applyAlignment="1">
      <alignment horizontal="left" vertical="top"/>
    </xf>
    <xf numFmtId="164" fontId="5" fillId="0" borderId="0" xfId="0" applyNumberFormat="1" applyFont="1" applyAlignment="1">
      <alignment horizontal="right" vertical="top"/>
    </xf>
    <xf numFmtId="164" fontId="5" fillId="3" borderId="0" xfId="0" applyNumberFormat="1" applyFont="1" applyFill="1" applyAlignment="1">
      <alignment horizontal="right" vertical="top"/>
    </xf>
    <xf numFmtId="0" fontId="5" fillId="3" borderId="0" xfId="0" applyFont="1" applyFill="1" applyAlignment="1">
      <alignment horizontal="left" vertical="top"/>
    </xf>
    <xf numFmtId="14" fontId="5" fillId="5" borderId="0" xfId="0" applyNumberFormat="1" applyFont="1" applyFill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164" fontId="5" fillId="5" borderId="0" xfId="0" applyNumberFormat="1" applyFont="1" applyFill="1" applyAlignment="1">
      <alignment horizontal="right" vertical="top"/>
    </xf>
    <xf numFmtId="0" fontId="5" fillId="5" borderId="0" xfId="0" applyFont="1" applyFill="1" applyAlignment="1">
      <alignment horizontal="center" vertical="top"/>
    </xf>
    <xf numFmtId="14" fontId="5" fillId="6" borderId="0" xfId="0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6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top"/>
    </xf>
    <xf numFmtId="0" fontId="11" fillId="8" borderId="0" xfId="0" applyFont="1" applyFill="1" applyAlignment="1">
      <alignment horizontal="left" vertical="top"/>
    </xf>
    <xf numFmtId="0" fontId="11" fillId="8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top"/>
    </xf>
    <xf numFmtId="0" fontId="0" fillId="9" borderId="1" xfId="0" applyFill="1" applyBorder="1" applyAlignment="1">
      <alignment horizontal="left" vertical="top"/>
    </xf>
    <xf numFmtId="0" fontId="12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left" vertical="top" wrapText="1"/>
    </xf>
    <xf numFmtId="0" fontId="0" fillId="2" borderId="0" xfId="0" applyFill="1" applyAlignment="1">
      <alignment horizontal="right" vertical="center" wrapText="1"/>
    </xf>
    <xf numFmtId="0" fontId="0" fillId="2" borderId="0" xfId="0" applyFill="1" applyAlignment="1">
      <alignment horizontal="right" vertical="center"/>
    </xf>
    <xf numFmtId="0" fontId="0" fillId="2" borderId="0" xfId="0" applyFill="1" applyAlignment="1">
      <alignment horizontal="left" vertical="top" wrapText="1"/>
    </xf>
    <xf numFmtId="0" fontId="13" fillId="2" borderId="0" xfId="0" applyFont="1" applyFill="1"/>
    <xf numFmtId="0" fontId="13" fillId="10" borderId="0" xfId="0" applyFont="1" applyFill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" fontId="5" fillId="4" borderId="0" xfId="0" applyNumberFormat="1" applyFont="1" applyFill="1" applyAlignment="1">
      <alignment horizontal="center" vertical="top"/>
    </xf>
    <xf numFmtId="14" fontId="2" fillId="11" borderId="0" xfId="0" applyNumberFormat="1" applyFont="1" applyFill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7" fontId="3" fillId="11" borderId="0" xfId="0" applyNumberFormat="1" applyFont="1" applyFill="1" applyAlignment="1">
      <alignment horizontal="left" vertical="center"/>
    </xf>
    <xf numFmtId="0" fontId="8" fillId="12" borderId="0" xfId="0" applyFont="1" applyFill="1" applyAlignment="1">
      <alignment horizontal="left" vertical="center"/>
    </xf>
    <xf numFmtId="0" fontId="9" fillId="12" borderId="0" xfId="0" applyFont="1" applyFill="1" applyAlignment="1">
      <alignment horizontal="left" vertical="center"/>
    </xf>
    <xf numFmtId="0" fontId="9" fillId="12" borderId="0" xfId="0" applyFont="1" applyFill="1" applyAlignment="1">
      <alignment vertical="center"/>
    </xf>
    <xf numFmtId="49" fontId="5" fillId="0" borderId="0" xfId="0" applyNumberFormat="1" applyFont="1" applyAlignment="1">
      <alignment vertical="top"/>
    </xf>
    <xf numFmtId="49" fontId="5" fillId="0" borderId="0" xfId="0" applyNumberFormat="1" applyFont="1" applyAlignment="1">
      <alignment horizontal="center" vertical="top"/>
    </xf>
    <xf numFmtId="164" fontId="5" fillId="0" borderId="0" xfId="0" applyNumberFormat="1" applyFont="1" applyAlignment="1">
      <alignment vertical="top"/>
    </xf>
    <xf numFmtId="9" fontId="5" fillId="0" borderId="0" xfId="0" applyNumberFormat="1" applyFont="1" applyAlignment="1">
      <alignment horizontal="center" vertical="top"/>
    </xf>
    <xf numFmtId="49" fontId="5" fillId="11" borderId="0" xfId="0" applyNumberFormat="1" applyFont="1" applyFill="1" applyAlignment="1">
      <alignment horizontal="center" vertical="top"/>
    </xf>
    <xf numFmtId="164" fontId="5" fillId="11" borderId="0" xfId="0" applyNumberFormat="1" applyFont="1" applyFill="1" applyAlignment="1">
      <alignment vertical="top"/>
    </xf>
    <xf numFmtId="49" fontId="5" fillId="11" borderId="0" xfId="0" applyNumberFormat="1" applyFont="1" applyFill="1" applyAlignment="1">
      <alignment vertical="top"/>
    </xf>
    <xf numFmtId="1" fontId="5" fillId="11" borderId="0" xfId="0" applyNumberFormat="1" applyFont="1" applyFill="1" applyAlignment="1">
      <alignment horizontal="center" vertical="top"/>
    </xf>
    <xf numFmtId="0" fontId="5" fillId="11" borderId="0" xfId="0" applyFont="1" applyFill="1" applyAlignment="1">
      <alignment horizontal="center" vertical="top"/>
    </xf>
    <xf numFmtId="0" fontId="16" fillId="0" borderId="0" xfId="0" applyFont="1" applyAlignment="1">
      <alignment vertical="top"/>
    </xf>
    <xf numFmtId="9" fontId="5" fillId="0" borderId="0" xfId="1" applyFont="1" applyAlignment="1">
      <alignment horizontal="left" vertical="top"/>
    </xf>
    <xf numFmtId="0" fontId="17" fillId="2" borderId="0" xfId="0" applyFont="1" applyFill="1" applyAlignment="1">
      <alignment horizontal="left" vertical="center"/>
    </xf>
    <xf numFmtId="0" fontId="18" fillId="0" borderId="0" xfId="0" applyFont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13" fillId="10" borderId="0" xfId="0" applyNumberFormat="1" applyFont="1" applyFill="1" applyAlignment="1">
      <alignment horizontal="left" vertical="top"/>
    </xf>
  </cellXfs>
  <cellStyles count="3">
    <cellStyle name="Hyperlink" xfId="2" xr:uid="{85D420FD-CF8E-4E0A-A0D0-2844EE5C767A}"/>
    <cellStyle name="Prozent" xfId="1" builtinId="5"/>
    <cellStyle name="Standard" xfId="0" builtinId="0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rgb="FFEDFFED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fill>
        <patternFill patternType="solid">
          <fgColor indexed="64"/>
          <bgColor theme="6" tint="0.79998168889431442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6" tint="0.79998168889431442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6" tint="0.79998168889431442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3" formatCode="0%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8" tint="0.79998168889431442"/>
        </patternFill>
      </fill>
    </dxf>
    <dxf>
      <font>
        <sz val="10"/>
        <name val="Aptos Narrow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0</xdr:row>
      <xdr:rowOff>161925</xdr:rowOff>
    </xdr:from>
    <xdr:to>
      <xdr:col>11</xdr:col>
      <xdr:colOff>366300</xdr:colOff>
      <xdr:row>0</xdr:row>
      <xdr:rowOff>413925</xdr:rowOff>
    </xdr:to>
    <xdr:pic>
      <xdr:nvPicPr>
        <xdr:cNvPr id="6" name="btnBelegeMenu" descr="Symbol für Hamburger-Menü mit einfarbiger Füllung">
          <a:extLst>
            <a:ext uri="{FF2B5EF4-FFF2-40B4-BE49-F238E27FC236}">
              <a16:creationId xmlns:a16="http://schemas.microsoft.com/office/drawing/2014/main" id="{0F03AD40-F594-443C-ADFA-9AB84C784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72625" y="161925"/>
          <a:ext cx="252000" cy="252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9525</xdr:colOff>
      <xdr:row>1</xdr:row>
      <xdr:rowOff>219075</xdr:rowOff>
    </xdr:from>
    <xdr:to>
      <xdr:col>2</xdr:col>
      <xdr:colOff>297525</xdr:colOff>
      <xdr:row>1</xdr:row>
      <xdr:rowOff>507075</xdr:rowOff>
    </xdr:to>
    <xdr:pic>
      <xdr:nvPicPr>
        <xdr:cNvPr id="7" name="btnBelegeSync" descr="Wiederholen mit einfarbiger Füllung">
          <a:extLst>
            <a:ext uri="{FF2B5EF4-FFF2-40B4-BE49-F238E27FC236}">
              <a16:creationId xmlns:a16="http://schemas.microsoft.com/office/drawing/2014/main" id="{3061818A-3B84-4549-8DEB-007D86C8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2505075" y="7524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285750</xdr:colOff>
      <xdr:row>1</xdr:row>
      <xdr:rowOff>180975</xdr:rowOff>
    </xdr:from>
    <xdr:to>
      <xdr:col>2</xdr:col>
      <xdr:colOff>645750</xdr:colOff>
      <xdr:row>2</xdr:row>
      <xdr:rowOff>0</xdr:rowOff>
    </xdr:to>
    <xdr:pic>
      <xdr:nvPicPr>
        <xdr:cNvPr id="8" name="btnBelegeCheck" descr="Kontrollkästchen aktiviert mit einfarbiger Füllung">
          <a:extLst>
            <a:ext uri="{FF2B5EF4-FFF2-40B4-BE49-F238E27FC236}">
              <a16:creationId xmlns:a16="http://schemas.microsoft.com/office/drawing/2014/main" id="{98D3C9A9-0BF3-4B47-8774-50C7621F3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2781300" y="71437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95250</xdr:colOff>
      <xdr:row>1</xdr:row>
      <xdr:rowOff>190500</xdr:rowOff>
    </xdr:from>
    <xdr:to>
      <xdr:col>1</xdr:col>
      <xdr:colOff>419250</xdr:colOff>
      <xdr:row>1</xdr:row>
      <xdr:rowOff>514500</xdr:rowOff>
    </xdr:to>
    <xdr:pic>
      <xdr:nvPicPr>
        <xdr:cNvPr id="9" name="btnGotoKunde" descr="Zurück mit einfarbiger Füllung">
          <a:extLst>
            <a:ext uri="{FF2B5EF4-FFF2-40B4-BE49-F238E27FC236}">
              <a16:creationId xmlns:a16="http://schemas.microsoft.com/office/drawing/2014/main" id="{6E6170F3-DF11-46EC-A016-6CB4A5081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33450" y="723900"/>
          <a:ext cx="324000" cy="324000"/>
        </a:xfrm>
        <a:prstGeom prst="rect">
          <a:avLst/>
        </a:prstGeom>
      </xdr:spPr>
    </xdr:pic>
    <xdr:clientData fPrintsWithSheet="0"/>
  </xdr:twoCellAnchor>
  <xdr:twoCellAnchor editAs="absolute">
    <xdr:from>
      <xdr:col>1</xdr:col>
      <xdr:colOff>1486612</xdr:colOff>
      <xdr:row>0</xdr:row>
      <xdr:rowOff>133350</xdr:rowOff>
    </xdr:from>
    <xdr:to>
      <xdr:col>1</xdr:col>
      <xdr:colOff>2410537</xdr:colOff>
      <xdr:row>0</xdr:row>
      <xdr:rowOff>457350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906017D-6419-4904-9929-D0F0D6345ECC}"/>
            </a:ext>
          </a:extLst>
        </xdr:cNvPr>
        <xdr:cNvGrpSpPr/>
      </xdr:nvGrpSpPr>
      <xdr:grpSpPr>
        <a:xfrm>
          <a:off x="2300567" y="133350"/>
          <a:ext cx="923925" cy="324000"/>
          <a:chOff x="2466975" y="190499"/>
          <a:chExt cx="923925" cy="324000"/>
        </a:xfrm>
      </xdr:grpSpPr>
      <xdr:sp macro="" textlink="">
        <xdr:nvSpPr>
          <xdr:cNvPr id="11" name="Rechteck: abgerundete Ecken 10">
            <a:extLst>
              <a:ext uri="{FF2B5EF4-FFF2-40B4-BE49-F238E27FC236}">
                <a16:creationId xmlns:a16="http://schemas.microsoft.com/office/drawing/2014/main" id="{E4DFECD2-EBA2-14A9-923B-3FE9F3487877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3">
                  <a:lumMod val="67000"/>
                </a:schemeClr>
              </a:gs>
              <a:gs pos="48000">
                <a:schemeClr val="accent3">
                  <a:lumMod val="97000"/>
                  <a:lumOff val="3000"/>
                </a:schemeClr>
              </a:gs>
              <a:gs pos="100000">
                <a:schemeClr val="accent3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12" name="Grafik 11" descr="E-Mail mit einfarbiger Füllung">
            <a:extLst>
              <a:ext uri="{FF2B5EF4-FFF2-40B4-BE49-F238E27FC236}">
                <a16:creationId xmlns:a16="http://schemas.microsoft.com/office/drawing/2014/main" id="{24DEBE56-C71B-BBE1-C5DE-7ED16FB281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>
    <xdr:from>
      <xdr:col>1</xdr:col>
      <xdr:colOff>304800</xdr:colOff>
      <xdr:row>0</xdr:row>
      <xdr:rowOff>133350</xdr:rowOff>
    </xdr:from>
    <xdr:to>
      <xdr:col>1</xdr:col>
      <xdr:colOff>1228725</xdr:colOff>
      <xdr:row>0</xdr:row>
      <xdr:rowOff>457350</xdr:rowOff>
    </xdr:to>
    <xdr:grpSp>
      <xdr:nvGrpSpPr>
        <xdr:cNvPr id="14" name="Gruppieren 13">
          <a:extLst>
            <a:ext uri="{FF2B5EF4-FFF2-40B4-BE49-F238E27FC236}">
              <a16:creationId xmlns:a16="http://schemas.microsoft.com/office/drawing/2014/main" id="{8A8537B4-A467-CF62-BD84-1D77BBCFCE4D}"/>
            </a:ext>
          </a:extLst>
        </xdr:cNvPr>
        <xdr:cNvGrpSpPr/>
      </xdr:nvGrpSpPr>
      <xdr:grpSpPr>
        <a:xfrm>
          <a:off x="1118755" y="133350"/>
          <a:ext cx="923925" cy="324000"/>
          <a:chOff x="1141141" y="133350"/>
          <a:chExt cx="923925" cy="324000"/>
        </a:xfrm>
      </xdr:grpSpPr>
      <xdr:sp macro="[0]!MAKRO_Belege_Open" textlink="">
        <xdr:nvSpPr>
          <xdr:cNvPr id="5" name="Rechteck: abgerundete Ecken 4">
            <a:extLst>
              <a:ext uri="{FF2B5EF4-FFF2-40B4-BE49-F238E27FC236}">
                <a16:creationId xmlns:a16="http://schemas.microsoft.com/office/drawing/2014/main" id="{80954CA9-A867-49A6-94DD-8CED6C80F87A}"/>
              </a:ext>
            </a:extLst>
          </xdr:cNvPr>
          <xdr:cNvSpPr/>
        </xdr:nvSpPr>
        <xdr:spPr>
          <a:xfrm>
            <a:off x="1141141" y="133350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3">
                  <a:lumMod val="67000"/>
                </a:schemeClr>
              </a:gs>
              <a:gs pos="48000">
                <a:schemeClr val="accent3">
                  <a:lumMod val="97000"/>
                  <a:lumOff val="3000"/>
                </a:schemeClr>
              </a:gs>
              <a:gs pos="100000">
                <a:schemeClr val="accent3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FEAC234A-243F-4D52-BA05-5395DCB6C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236391" y="180975"/>
            <a:ext cx="252000" cy="252000"/>
          </a:xfrm>
          <a:prstGeom prst="rect">
            <a:avLst/>
          </a:prstGeom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85725</xdr:colOff>
      <xdr:row>1</xdr:row>
      <xdr:rowOff>171450</xdr:rowOff>
    </xdr:from>
    <xdr:to>
      <xdr:col>7</xdr:col>
      <xdr:colOff>409725</xdr:colOff>
      <xdr:row>1</xdr:row>
      <xdr:rowOff>495450</xdr:rowOff>
    </xdr:to>
    <xdr:pic>
      <xdr:nvPicPr>
        <xdr:cNvPr id="3" name="btnGotoBeleg" descr="Zurück mit einfarbiger Füllung">
          <a:extLst>
            <a:ext uri="{FF2B5EF4-FFF2-40B4-BE49-F238E27FC236}">
              <a16:creationId xmlns:a16="http://schemas.microsoft.com/office/drawing/2014/main" id="{79C91BBB-F9B9-4F15-B330-DBEBBB86C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96300" y="704850"/>
          <a:ext cx="324000" cy="324000"/>
        </a:xfrm>
        <a:prstGeom prst="rect">
          <a:avLst/>
        </a:prstGeom>
      </xdr:spPr>
    </xdr:pic>
    <xdr:clientData/>
  </xdr:twoCellAnchor>
  <xdr:twoCellAnchor>
    <xdr:from>
      <xdr:col>2</xdr:col>
      <xdr:colOff>238124</xdr:colOff>
      <xdr:row>0</xdr:row>
      <xdr:rowOff>95250</xdr:rowOff>
    </xdr:from>
    <xdr:to>
      <xdr:col>2</xdr:col>
      <xdr:colOff>1428750</xdr:colOff>
      <xdr:row>0</xdr:row>
      <xdr:rowOff>419250</xdr:rowOff>
    </xdr:to>
    <xdr:grpSp>
      <xdr:nvGrpSpPr>
        <xdr:cNvPr id="7" name="btnBerechnen">
          <a:extLst>
            <a:ext uri="{FF2B5EF4-FFF2-40B4-BE49-F238E27FC236}">
              <a16:creationId xmlns:a16="http://schemas.microsoft.com/office/drawing/2014/main" id="{A32CCAE8-B5D8-66D2-701F-3F8306B49D10}"/>
            </a:ext>
          </a:extLst>
        </xdr:cNvPr>
        <xdr:cNvGrpSpPr/>
      </xdr:nvGrpSpPr>
      <xdr:grpSpPr>
        <a:xfrm>
          <a:off x="2212397" y="95250"/>
          <a:ext cx="1190626" cy="324000"/>
          <a:chOff x="2209799" y="95250"/>
          <a:chExt cx="1190626" cy="324000"/>
        </a:xfrm>
      </xdr:grpSpPr>
      <xdr:sp macro="" textlink="">
        <xdr:nvSpPr>
          <xdr:cNvPr id="4" name="Berechnen">
            <a:extLst>
              <a:ext uri="{FF2B5EF4-FFF2-40B4-BE49-F238E27FC236}">
                <a16:creationId xmlns:a16="http://schemas.microsoft.com/office/drawing/2014/main" id="{E1594C68-916F-EB7A-11C2-3E0E944053AB}"/>
              </a:ext>
            </a:extLst>
          </xdr:cNvPr>
          <xdr:cNvSpPr/>
        </xdr:nvSpPr>
        <xdr:spPr>
          <a:xfrm>
            <a:off x="2209799" y="95250"/>
            <a:ext cx="1190626" cy="324000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Berechnen</a:t>
            </a:r>
            <a:endParaRPr lang="de-DE" sz="1100" b="1">
              <a:latin typeface="+mn-lt"/>
            </a:endParaRPr>
          </a:p>
        </xdr:txBody>
      </xdr:sp>
      <xdr:pic>
        <xdr:nvPicPr>
          <xdr:cNvPr id="6" name="Euro">
            <a:extLst>
              <a:ext uri="{FF2B5EF4-FFF2-40B4-BE49-F238E27FC236}">
                <a16:creationId xmlns:a16="http://schemas.microsoft.com/office/drawing/2014/main" id="{AA386E8D-27B9-482E-2111-DA31DA7290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24100" y="161925"/>
            <a:ext cx="180000" cy="1800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152400</xdr:colOff>
      <xdr:row>1</xdr:row>
      <xdr:rowOff>209550</xdr:rowOff>
    </xdr:from>
    <xdr:to>
      <xdr:col>6</xdr:col>
      <xdr:colOff>476400</xdr:colOff>
      <xdr:row>2</xdr:row>
      <xdr:rowOff>150</xdr:rowOff>
    </xdr:to>
    <xdr:pic>
      <xdr:nvPicPr>
        <xdr:cNvPr id="9" name="btnCreateBestellNr" descr="Pfeil: 180-Grad, vertikal mit einfarbiger Füllung">
          <a:extLst>
            <a:ext uri="{FF2B5EF4-FFF2-40B4-BE49-F238E27FC236}">
              <a16:creationId xmlns:a16="http://schemas.microsoft.com/office/drawing/2014/main" id="{B4FA3870-10C0-487D-9DF8-90BFA7D5C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62875" y="742950"/>
          <a:ext cx="324000" cy="3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171450</xdr:colOff>
      <xdr:row>1</xdr:row>
      <xdr:rowOff>219075</xdr:rowOff>
    </xdr:from>
    <xdr:to>
      <xdr:col>13</xdr:col>
      <xdr:colOff>495450</xdr:colOff>
      <xdr:row>2</xdr:row>
      <xdr:rowOff>9675</xdr:rowOff>
    </xdr:to>
    <xdr:pic>
      <xdr:nvPicPr>
        <xdr:cNvPr id="2" name="btnKundenCReateDebitorNr" descr="Pfeil: 180-Grad, vertikal mit einfarbiger Füllung">
          <a:extLst>
            <a:ext uri="{FF2B5EF4-FFF2-40B4-BE49-F238E27FC236}">
              <a16:creationId xmlns:a16="http://schemas.microsoft.com/office/drawing/2014/main" id="{4A798698-22F2-4DF3-857D-0836219A6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552450"/>
          <a:ext cx="324000" cy="32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2</xdr:row>
      <xdr:rowOff>38100</xdr:rowOff>
    </xdr:from>
    <xdr:to>
      <xdr:col>3</xdr:col>
      <xdr:colOff>257175</xdr:colOff>
      <xdr:row>3</xdr:row>
      <xdr:rowOff>171600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3416675-EA15-36EB-B44D-7509A6E75E9E}"/>
            </a:ext>
          </a:extLst>
        </xdr:cNvPr>
        <xdr:cNvGrpSpPr/>
      </xdr:nvGrpSpPr>
      <xdr:grpSpPr>
        <a:xfrm>
          <a:off x="3400425" y="495300"/>
          <a:ext cx="1314450" cy="324000"/>
          <a:chOff x="3400425" y="495300"/>
          <a:chExt cx="1314450" cy="324000"/>
        </a:xfrm>
      </xdr:grpSpPr>
      <xdr:sp macro="[0]!MAKRO_Developer_Clear" textlink="">
        <xdr:nvSpPr>
          <xdr:cNvPr id="3" name="Berechnen">
            <a:extLst>
              <a:ext uri="{FF2B5EF4-FFF2-40B4-BE49-F238E27FC236}">
                <a16:creationId xmlns:a16="http://schemas.microsoft.com/office/drawing/2014/main" id="{55052257-DB2A-2676-9074-C9EF36DB1D99}"/>
              </a:ext>
            </a:extLst>
          </xdr:cNvPr>
          <xdr:cNvSpPr/>
        </xdr:nvSpPr>
        <xdr:spPr>
          <a:xfrm>
            <a:off x="3400425" y="495300"/>
            <a:ext cx="1314450" cy="3240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Liste leeren</a:t>
            </a:r>
            <a:endParaRPr lang="de-DE" sz="1100" b="1">
              <a:latin typeface="+mn-lt"/>
            </a:endParaRPr>
          </a:p>
        </xdr:txBody>
      </xdr:sp>
      <xdr:pic>
        <xdr:nvPicPr>
          <xdr:cNvPr id="4" name="Euro" descr="Papier mit einfarbiger Füllung">
            <a:extLst>
              <a:ext uri="{FF2B5EF4-FFF2-40B4-BE49-F238E27FC236}">
                <a16:creationId xmlns:a16="http://schemas.microsoft.com/office/drawing/2014/main" id="{E5F313CF-D2B3-1927-696B-BD0C5EE2B7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14726" y="561975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92B049F-1FF8-4076-A496-41E09D2F1872}" name="tblBelege" displayName="tblBelege" ref="A2:L3" totalsRowShown="0" headerRowDxfId="69" dataDxfId="68">
  <autoFilter ref="A2:L3" xr:uid="{792B049F-1FF8-4076-A496-41E09D2F1872}"/>
  <tableColumns count="12">
    <tableColumn id="1" xr3:uid="{990D2027-B730-497C-91A8-3553E49099A8}" name="Datum" dataDxfId="67"/>
    <tableColumn id="2" xr3:uid="{A2506318-9217-4079-B4F6-74A2DDB370E2}" name="Kundenname" dataDxfId="66"/>
    <tableColumn id="3" xr3:uid="{9D4C88BC-4AF4-45EA-B32C-3ABDEA65DF43}" name="Beleg-Art" dataDxfId="65"/>
    <tableColumn id="4" xr3:uid="{BC299B37-2DA4-40E7-9E02-4A72F02248A4}" name="Netto" dataDxfId="64"/>
    <tableColumn id="5" xr3:uid="{2E3D5166-034A-45A1-ACB4-0E848C8934B3}" name="Steuer" dataDxfId="63"/>
    <tableColumn id="11" xr3:uid="{2E98622D-6F5C-4A9B-9605-9174160FF000}" name="JM" dataDxfId="62"/>
    <tableColumn id="6" xr3:uid="{7522C016-F9B5-476E-98D5-6091A8054B3E}" name="Brutto" dataDxfId="61">
      <calculatedColumnFormula>tblBelege[[#This Row],[Netto]]*(1+tblBelege[[#This Row],[Steuer]])</calculatedColumnFormula>
    </tableColumn>
    <tableColumn id="8" xr3:uid="{6BDA7FCB-7893-4741-A0C5-B3994A1B86F7}" name="Beleg-Nr." dataDxfId="60">
      <calculatedColumnFormula>LEFT(tblBelege[[#This Row],[Beleg-Art]], 1) &amp; TEXT(tblBelege[[#This Row],[Datum]], "JJ") &amp; "-" &amp; tblBelege[[#This Row],[Beleg-Id]]</calculatedColumnFormula>
    </tableColumn>
    <tableColumn id="7" xr3:uid="{9035992F-EFBC-40E1-9CFC-4FDD9E07915C}" name="Referenz" dataDxfId="59"/>
    <tableColumn id="9" xr3:uid="{787BD6CC-0EEE-49E3-8380-EF2E194AE4EA}" name="Debitor" dataDxfId="58">
      <calculatedColumnFormula>_xlfn.XLOOKUP(tblBelege[[#This Row],[Kundenname]], tblKunden[Name], tblKunden[Debitor], 0)</calculatedColumnFormula>
    </tableColumn>
    <tableColumn id="10" xr3:uid="{6FE14DDB-03D5-4C8E-AE49-4BF5E97E875F}" name="Beleg-Id" dataDxfId="57"/>
    <tableColumn id="12" xr3:uid="{A3F5B938-214E-4942-90C9-91579D44C61E}" name="Periode" dataDxfId="56">
      <calculatedColumnFormula>TEXT(tblBelege[[#This Row],[Datum]],"JJJJ-MM")</calculatedColumnFormula>
    </tableColumn>
  </tableColumns>
  <tableStyleInfo name="TableStyleLight1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248475-2752-4865-AF08-19DF65F6A581}" name="tblBestellungen" displayName="tblBestellungen" ref="A2:R3" insertRow="1" totalsRowShown="0" headerRowDxfId="55" dataDxfId="54">
  <autoFilter ref="A2:R3" xr:uid="{D5248475-2752-4865-AF08-19DF65F6A581}"/>
  <tableColumns count="18">
    <tableColumn id="2" xr3:uid="{9BC8F38C-33A2-40A9-9881-C1044F4F5651}" name="Bestellt" dataDxfId="53"/>
    <tableColumn id="3" xr3:uid="{2F86E50F-3163-483E-928C-3B879F979483}" name="IMEI" dataDxfId="52"/>
    <tableColumn id="4" xr3:uid="{3863E086-9A9C-4072-B0DF-146E4B2491A7}" name="Gerät" dataDxfId="51"/>
    <tableColumn id="16" xr3:uid="{0DCE9AF0-A800-470E-8B76-EBD596632342}" name="Einkaufspreis" dataDxfId="50"/>
    <tableColumn id="5" xr3:uid="{B87D81AF-7DE5-4FE9-B8C7-602BDAF9BF5F}" name="Hardware Bonus" dataDxfId="49"/>
    <tableColumn id="18" xr3:uid="{4FEF74CD-E40A-41FC-9ABD-3E678D21EF2C}" name="Mitarbeiter" dataDxfId="48"/>
    <tableColumn id="1" xr3:uid="{8CD6B56E-F12E-4F4E-8281-C8AE77B8B467}" name="Bestell-Nr." dataDxfId="47"/>
    <tableColumn id="6" xr3:uid="{8D727911-F2E0-449B-9A19-59253458CDEF}" name="Rech.-Nr." dataDxfId="46"/>
    <tableColumn id="7" xr3:uid="{F9525E00-178D-43C3-9905-9D4321BF180D}" name="Empfänger versendet" dataDxfId="45"/>
    <tableColumn id="8" xr3:uid="{F373B31B-818D-4F57-BD9A-1009214B6063}" name="Empfänger" dataDxfId="44"/>
    <tableColumn id="9" xr3:uid="{FEA6E6B7-12AA-40D9-837C-3CFDF3F55719}" name="Empfänger Rufnummer" dataDxfId="43"/>
    <tableColumn id="10" xr3:uid="{DE063A52-696B-4679-8EB2-C0F9B1BBE524}" name="Empfänger Zuzahlung" dataDxfId="42"/>
    <tableColumn id="17" xr3:uid="{16F71106-E2E3-4924-8DDA-A88BF349BD91}" name="Ertrag" dataDxfId="41">
      <calculatedColumnFormula>tblBestellungen[[#This Row],[Empfänger Zuzahlung]]-tblBestellungen[[#This Row],[Einkaufspreis]]+tblBestellungen[[#This Row],[Hardware Bonus]]</calculatedColumnFormula>
    </tableColumn>
    <tableColumn id="11" xr3:uid="{ED9F7E75-F629-4AB4-B29A-B40074B341D3}" name="KK Update" dataDxfId="40"/>
    <tableColumn id="12" xr3:uid="{B19B767A-26AC-448B-8137-9EE140EBFB2D}" name="Eingegeben" dataDxfId="39"/>
    <tableColumn id="13" xr3:uid="{3AF191E7-E1FB-485F-895F-4F342440A93C}" name="Eingegeben für" dataDxfId="38"/>
    <tableColumn id="14" xr3:uid="{94C436D8-4AD8-413C-963F-64D911B26795}" name="Eingegeben für Rufnummer" dataDxfId="37"/>
    <tableColumn id="15" xr3:uid="{83A9EBFC-C0AF-4D59-AD56-A6E63E687800}" name="Bemerkungen" dataDxfId="36"/>
  </tableColumns>
  <tableStyleInfo name="TableStyleLight10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DEC090-0B35-44B8-988C-AA95A48C9088}" name="tblKunden" displayName="tblKunden" ref="A2:N7" totalsRowShown="0" headerRowDxfId="34" dataDxfId="33">
  <autoFilter ref="A2:N7" xr:uid="{ACDEC090-0B35-44B8-988C-AA95A48C9088}"/>
  <sortState xmlns:xlrd2="http://schemas.microsoft.com/office/spreadsheetml/2017/richdata2" ref="A3:N3">
    <sortCondition ref="A2:A3"/>
  </sortState>
  <tableColumns count="14">
    <tableColumn id="1" xr3:uid="{7630C454-F54F-490D-86F8-27015E0DCD87}" name="Name" dataDxfId="32"/>
    <tableColumn id="2" xr3:uid="{003F4F41-634A-470B-B23F-F15FE3EFD0F8}" name="Strasse" dataDxfId="31"/>
    <tableColumn id="3" xr3:uid="{88AF34D3-670A-4CB5-AA66-BBE04B1A2F71}" name="PLZ" dataDxfId="30"/>
    <tableColumn id="4" xr3:uid="{EF9B1C3A-086B-4E1B-B2A1-52CB67FADFFE}" name="Ort" dataDxfId="29"/>
    <tableColumn id="10" xr3:uid="{77CA0D87-ABBC-4E8A-8F71-679CA30ADA1A}" name="HR" dataDxfId="28"/>
    <tableColumn id="11" xr3:uid="{42BDF5A8-E33F-4C7E-B414-6FB6DBC68AC0}" name="USt-Id" dataDxfId="27"/>
    <tableColumn id="12" xr3:uid="{F48056ED-EAA4-4AC1-B04E-FB91D79DCD56}" name="Asp" dataDxfId="26"/>
    <tableColumn id="13" xr3:uid="{71A5CBF4-B540-4602-A8B4-902397C9C075}" name="Telefon" dataDxfId="25"/>
    <tableColumn id="18" xr3:uid="{1F16DC79-23EF-4E74-AC76-BF902A83641F}" name="Email" dataDxfId="24"/>
    <tableColumn id="6" xr3:uid="{E23AE8E7-3346-483B-BC38-926586AACAFC}" name="Rech.-Email" dataDxfId="23"/>
    <tableColumn id="7" xr3:uid="{F0D05F67-21BC-4624-8B5B-E11AD8005AB7}" name="Bank" dataDxfId="22"/>
    <tableColumn id="8" xr3:uid="{E06511BD-7356-4EDD-999A-766CF7FA778D}" name="IBAN" dataDxfId="21"/>
    <tableColumn id="9" xr3:uid="{1B7CE553-8C60-4130-B884-7641B0B163E5}" name="BIC" dataDxfId="20"/>
    <tableColumn id="5" xr3:uid="{213D3DA6-E26D-4CB5-8E6F-2E34DAB11F41}" name="Debitor" dataDxfId="19"/>
  </tableColumns>
  <tableStyleInfo name="TableStyleLight9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F803C9D-3040-4E2D-81DD-12B14F3B670C}" name="tblBenutzer" displayName="tblBenutzer" ref="A2:I11" totalsRowShown="0" headerRowDxfId="18" dataDxfId="17">
  <autoFilter ref="A2:I11" xr:uid="{BF803C9D-3040-4E2D-81DD-12B14F3B670C}"/>
  <tableColumns count="9">
    <tableColumn id="1" xr3:uid="{775E82C4-9F30-4677-B8CD-98983602BBFC}" name="Benutzer" dataDxfId="16"/>
    <tableColumn id="8" xr3:uid="{9A2AEE21-38ED-4B20-8173-0DE169BE993F}" name="Aktiv" dataDxfId="15"/>
    <tableColumn id="9" xr3:uid="{D551FE41-397E-4B5F-B243-8723541A611B}" name="Admin" dataDxfId="14"/>
    <tableColumn id="2" xr3:uid="{205DF529-F8A8-4F5E-8A7D-D6A8D21A55C6}" name="Nachname" dataDxfId="13"/>
    <tableColumn id="3" xr3:uid="{464682F1-3873-47A6-9958-A57C9BB90182}" name="Vorname" dataDxfId="12"/>
    <tableColumn id="4" xr3:uid="{62DEC153-2D0A-4498-865F-8DA9556BC2DD}" name="Kürzel" dataDxfId="11"/>
    <tableColumn id="5" xr3:uid="{09116FEB-EB4A-45CA-B8BE-8002610C997E}" name="Titel" dataDxfId="10"/>
    <tableColumn id="6" xr3:uid="{44141493-7800-4813-AB2E-30F05D0D714F}" name="Telefon" dataDxfId="9"/>
    <tableColumn id="7" xr3:uid="{86E3D481-88CB-4CE7-AFF0-6841D22E002F}" name="Email" dataDxfId="8"/>
  </tableColumns>
  <tableStyleInfo name="TableStyleLight13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FD6F2CB-E590-440E-A8EB-D5BFB3E93BDA}" name="tblOptionen" displayName="tblOptionen" ref="A2:C29" headerRowDxfId="7" dataDxfId="6">
  <autoFilter ref="A2:C29" xr:uid="{8FD6F2CB-E590-440E-A8EB-D5BFB3E93BDA}"/>
  <tableColumns count="3">
    <tableColumn id="1" xr3:uid="{16B7C951-5F53-47D6-9BE2-77BB79735ACE}" name="Einstellung" totalsRowLabel="Ergebnis" dataDxfId="5" totalsRowDxfId="4"/>
    <tableColumn id="3" xr3:uid="{47FCEB66-704B-4DE9-8AF2-EA9D61F02CEA}" name="Index" dataDxfId="3" totalsRowDxfId="2"/>
    <tableColumn id="2" xr3:uid="{0D2C18B5-504A-4D68-B399-FCB0EE8E983F}" name="Wert" totalsRowFunction="count" dataDxfId="1" totalsRowDxfId="0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47F05C-AE93-43EB-84F8-5B8328A6A716}" name="tblDeveloper" displayName="tblDeveloper" ref="A6:F11" totalsRowShown="0" headerRowDxfId="81" dataDxfId="80">
  <autoFilter ref="A6:F11" xr:uid="{8047F05C-AE93-43EB-84F8-5B8328A6A716}"/>
  <tableColumns count="6">
    <tableColumn id="1" xr3:uid="{2C7380BC-F1D4-4531-869B-F6EAFFC99655}" name="Headers" dataDxfId="79"/>
    <tableColumn id="7" xr3:uid="{BEDC4969-0738-4140-8824-CE1A820F5707}" name="Types"/>
    <tableColumn id="2" xr3:uid="{54F61F66-1A63-4D42-A295-6A4747768404}" name="VBA Names" dataDxfId="78">
      <calculatedColumnFormula>_xlfn.REGEXREPLACE(tblDeveloper[[#This Row],[Headers]], "\W", "")</calculatedColumnFormula>
    </tableColumn>
    <tableColumn id="3" xr3:uid="{598F9AAF-8B5B-426C-9E18-67343626A701}" name="Class Enums" dataDxfId="77">
      <calculatedColumnFormula>IF(DevEnumPrefix = "", "",DevEnumPrefix &amp; tblDeveloper[[#This Row],[VBA Names]] &amp; IF(ROW() = 7, " = 1", ""))</calculatedColumnFormula>
    </tableColumn>
    <tableColumn id="6" xr3:uid="{67296882-9D8F-4F51-A3AB-F089BF3FA7AD}" name="Var-Declarations" dataDxfId="76">
      <calculatedColumnFormula xml:space="preserve"> IF(ISBLANK(DevVarPrefix), "", DevVarPrefix &amp; " ") &amp; tblDeveloper[[#This Row],[VBA Names]] &amp; " As " &amp; IF(ISBLANK(tblDeveloper[[#This Row],[Types]]), "String", tblDeveloper[[#This Row],[Types]])</calculatedColumnFormula>
    </tableColumn>
    <tableColumn id="4" xr3:uid="{9E1593F4-302A-4F69-8735-4E14DC0AEB0C}" name="Assignments" dataDxfId="75">
      <calculatedColumnFormula>IF(ISBLANK(DevEnumPrefix), "", tblDeveloper[[#This Row],[VBA Names]] &amp; " = " &amp; "values(1, " &amp; DevEnumPrefix &amp; tblDeveloper[[#This Row],[VBA Names]] &amp; ")")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3543D-27E4-4799-A08E-A225F891AD68}">
  <sheetPr codeName="shBelege">
    <pageSetUpPr fitToPage="1"/>
  </sheetPr>
  <dimension ref="A1:L3"/>
  <sheetViews>
    <sheetView showGridLines="0" zoomScale="110" zoomScaleNormal="110" workbookViewId="0">
      <pane ySplit="2" topLeftCell="A3" activePane="bottomLeft" state="frozen"/>
      <selection pane="bottomLeft" activeCell="B37" sqref="B37"/>
    </sheetView>
  </sheetViews>
  <sheetFormatPr baseColWidth="10" defaultRowHeight="15" x14ac:dyDescent="0.25"/>
  <cols>
    <col min="1" max="1" width="10.625" style="3" bestFit="1" customWidth="1"/>
    <col min="2" max="2" width="50.25" style="3" bestFit="1" customWidth="1"/>
    <col min="3" max="3" width="10.125" style="3" bestFit="1" customWidth="1"/>
    <col min="4" max="4" width="9.375" style="3" bestFit="1" customWidth="1"/>
    <col min="5" max="5" width="8.125" style="3" bestFit="1" customWidth="1"/>
    <col min="6" max="6" width="11.625" style="3" bestFit="1" customWidth="1"/>
    <col min="7" max="7" width="9.375" style="3" bestFit="1" customWidth="1"/>
    <col min="8" max="8" width="10.25" style="3" bestFit="1" customWidth="1"/>
    <col min="9" max="9" width="10" style="3" bestFit="1" customWidth="1"/>
    <col min="10" max="10" width="8.875" style="3" bestFit="1" customWidth="1"/>
    <col min="11" max="11" width="9.625" style="3" bestFit="1" customWidth="1"/>
    <col min="12" max="12" width="9" style="3" bestFit="1" customWidth="1"/>
    <col min="13" max="16384" width="11" style="3"/>
  </cols>
  <sheetData>
    <row r="1" spans="1:12" s="40" customFormat="1" ht="42" customHeight="1" x14ac:dyDescent="0.25">
      <c r="A1" s="39" t="s">
        <v>14</v>
      </c>
      <c r="D1" s="41"/>
    </row>
    <row r="2" spans="1:12" ht="42" customHeight="1" x14ac:dyDescent="0.25">
      <c r="A2" s="54" t="s">
        <v>6</v>
      </c>
      <c r="B2" s="54" t="s">
        <v>183</v>
      </c>
      <c r="C2" s="54" t="s">
        <v>15</v>
      </c>
      <c r="D2" s="54" t="s">
        <v>7</v>
      </c>
      <c r="E2" s="54" t="s">
        <v>8</v>
      </c>
      <c r="F2" s="54" t="s">
        <v>21</v>
      </c>
      <c r="G2" s="54" t="s">
        <v>9</v>
      </c>
      <c r="H2" s="54" t="s">
        <v>16</v>
      </c>
      <c r="I2" s="54" t="s">
        <v>10</v>
      </c>
      <c r="J2" s="54" t="s">
        <v>11</v>
      </c>
      <c r="K2" s="54" t="s">
        <v>192</v>
      </c>
      <c r="L2" s="54" t="s">
        <v>182</v>
      </c>
    </row>
    <row r="3" spans="1:12" x14ac:dyDescent="0.25">
      <c r="A3" s="10">
        <v>46113</v>
      </c>
      <c r="B3" s="45" t="s">
        <v>4</v>
      </c>
      <c r="C3" s="46" t="s">
        <v>12</v>
      </c>
      <c r="D3" s="47"/>
      <c r="E3" s="48">
        <v>0.19</v>
      </c>
      <c r="F3" s="49" t="s">
        <v>21</v>
      </c>
      <c r="G3" s="50">
        <f>tblBelege[[#This Row],[Netto]]*(1+tblBelege[[#This Row],[Steuer]])</f>
        <v>0</v>
      </c>
      <c r="H3" s="50" t="str">
        <f>LEFT(tblBelege[[#This Row],[Beleg-Art]], 1) &amp; TEXT(tblBelege[[#This Row],[Datum]], "JJ") &amp; "-" &amp; tblBelege[[#This Row],[Beleg-Id]]</f>
        <v>R26-</v>
      </c>
      <c r="I3" s="51"/>
      <c r="J3" s="52">
        <f>_xlfn.XLOOKUP(tblBelege[[#This Row],[Kundenname]], tblKunden[Name], tblKunden[Debitor], 0)</f>
        <v>12001</v>
      </c>
      <c r="K3" s="52"/>
      <c r="L3" s="53" t="str">
        <f>TEXT(tblBelege[[#This Row],[Datum]],"JJJJ-MM")</f>
        <v>2026-04</v>
      </c>
    </row>
  </sheetData>
  <conditionalFormatting sqref="A3:E3">
    <cfRule type="expression" dxfId="74" priority="3">
      <formula>$C3 = "Gutschrift"</formula>
    </cfRule>
  </conditionalFormatting>
  <conditionalFormatting sqref="G3">
    <cfRule type="expression" dxfId="73" priority="2">
      <formula>$G3=""</formula>
    </cfRule>
  </conditionalFormatting>
  <conditionalFormatting sqref="H3">
    <cfRule type="expression" dxfId="72" priority="18">
      <formula>OR($C3="",$K3="")</formula>
    </cfRule>
  </conditionalFormatting>
  <conditionalFormatting sqref="B3 J3">
    <cfRule type="expression" dxfId="71" priority="19">
      <formula>$J3=0</formula>
    </cfRule>
  </conditionalFormatting>
  <conditionalFormatting sqref="K3">
    <cfRule type="duplicateValues" dxfId="70" priority="1"/>
  </conditionalFormatting>
  <dataValidations count="3">
    <dataValidation type="list" allowBlank="1" showInputMessage="1" showErrorMessage="1" sqref="C3" xr:uid="{96CB613B-94C2-4703-AF31-2904859CC1BB}">
      <formula1>"Rechnung,Gutschrift"</formula1>
    </dataValidation>
    <dataValidation type="list" allowBlank="1" showInputMessage="1" showErrorMessage="1" sqref="B3" xr:uid="{CBDE1A65-FEB2-4352-A8E3-F4033AF699F4}">
      <formula1>Kunden</formula1>
    </dataValidation>
    <dataValidation type="list" allowBlank="1" showInputMessage="1" showErrorMessage="1" sqref="F3" xr:uid="{AA9B090D-FD60-4955-BD5A-D32F8AFBC6EB}">
      <formula1>UserKurz</formula1>
    </dataValidation>
  </dataValidations>
  <pageMargins left="0.7" right="0.7" top="0.78740157499999996" bottom="0.78740157499999996" header="0.3" footer="0.3"/>
  <pageSetup paperSize="9" scale="81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98A6-7BD7-48D4-8B8C-0231D5C6A83A}">
  <sheetPr codeName="shBestellungen"/>
  <dimension ref="A1:R3"/>
  <sheetViews>
    <sheetView zoomScale="110" zoomScaleNormal="110" workbookViewId="0">
      <selection activeCell="C25" sqref="C25"/>
    </sheetView>
  </sheetViews>
  <sheetFormatPr baseColWidth="10" defaultRowHeight="15" x14ac:dyDescent="0.25"/>
  <cols>
    <col min="1" max="1" width="9.75" style="10" customWidth="1"/>
    <col min="2" max="2" width="16.125" style="12" bestFit="1" customWidth="1"/>
    <col min="3" max="3" width="43.5" style="12" customWidth="1"/>
    <col min="4" max="5" width="10.25" style="12" customWidth="1"/>
    <col min="6" max="6" width="10" style="12" customWidth="1"/>
    <col min="7" max="7" width="10.5" style="10" customWidth="1"/>
    <col min="8" max="8" width="9.5" style="12" customWidth="1"/>
    <col min="9" max="9" width="10.75" style="12" customWidth="1"/>
    <col min="10" max="10" width="24.75" style="12" customWidth="1"/>
    <col min="11" max="11" width="13.5" style="12" customWidth="1"/>
    <col min="12" max="12" width="9.75" style="10" customWidth="1"/>
    <col min="13" max="13" width="9.75" style="12" customWidth="1"/>
    <col min="14" max="14" width="6.375" style="12" customWidth="1"/>
    <col min="15" max="15" width="10.75" style="12" customWidth="1"/>
    <col min="16" max="16" width="22" style="12" customWidth="1"/>
    <col min="17" max="17" width="13.375" style="12" customWidth="1"/>
    <col min="18" max="18" width="22" style="3" customWidth="1"/>
    <col min="19" max="16384" width="11" style="3"/>
  </cols>
  <sheetData>
    <row r="1" spans="1:18" s="7" customFormat="1" ht="42" customHeight="1" x14ac:dyDescent="0.25">
      <c r="A1" s="4" t="s">
        <v>181</v>
      </c>
      <c r="B1" s="5"/>
      <c r="C1" s="5"/>
      <c r="D1" s="5"/>
      <c r="E1" s="5"/>
      <c r="F1" s="5"/>
      <c r="G1" s="6"/>
      <c r="H1" s="5"/>
      <c r="I1" s="5"/>
      <c r="J1" s="5"/>
      <c r="K1" s="5"/>
      <c r="L1" s="6"/>
      <c r="M1" s="5"/>
      <c r="N1" s="5"/>
      <c r="O1" s="5"/>
      <c r="P1" s="6"/>
      <c r="Q1" s="6"/>
    </row>
    <row r="2" spans="1:18" ht="42" customHeight="1" x14ac:dyDescent="0.25">
      <c r="A2" s="8" t="s">
        <v>22</v>
      </c>
      <c r="B2" s="9" t="s">
        <v>23</v>
      </c>
      <c r="C2" s="9" t="s">
        <v>24</v>
      </c>
      <c r="D2" s="9" t="s">
        <v>25</v>
      </c>
      <c r="E2" s="9" t="s">
        <v>26</v>
      </c>
      <c r="F2" s="9" t="s">
        <v>17</v>
      </c>
      <c r="G2" s="9" t="s">
        <v>27</v>
      </c>
      <c r="H2" s="9" t="s">
        <v>28</v>
      </c>
      <c r="I2" s="8" t="s">
        <v>29</v>
      </c>
      <c r="J2" s="9" t="s">
        <v>30</v>
      </c>
      <c r="K2" s="9" t="s">
        <v>31</v>
      </c>
      <c r="L2" s="9" t="s">
        <v>32</v>
      </c>
      <c r="M2" s="9" t="s">
        <v>33</v>
      </c>
      <c r="N2" s="9" t="s">
        <v>34</v>
      </c>
      <c r="O2" s="8" t="s">
        <v>35</v>
      </c>
      <c r="P2" s="9" t="s">
        <v>36</v>
      </c>
      <c r="Q2" s="9" t="s">
        <v>37</v>
      </c>
      <c r="R2" s="9" t="s">
        <v>38</v>
      </c>
    </row>
    <row r="3" spans="1:18" x14ac:dyDescent="0.25">
      <c r="B3" s="11"/>
      <c r="D3" s="13"/>
      <c r="E3" s="14"/>
      <c r="F3" s="15"/>
      <c r="G3" s="16"/>
      <c r="H3" s="16"/>
      <c r="I3" s="17"/>
      <c r="J3" s="18"/>
      <c r="K3" s="18"/>
      <c r="L3" s="19"/>
      <c r="M3" s="15"/>
      <c r="N3" s="20"/>
      <c r="O3" s="21"/>
      <c r="P3" s="22"/>
      <c r="Q3" s="22"/>
      <c r="R3" s="12"/>
    </row>
  </sheetData>
  <dataValidations count="3">
    <dataValidation type="list" allowBlank="1" showInputMessage="1" showErrorMessage="1" sqref="J3 P3" xr:uid="{AC2EC5B9-2185-4BDA-A051-BAAA9AD27BB4}">
      <formula1>dddd</formula1>
    </dataValidation>
    <dataValidation type="list" allowBlank="1" showInputMessage="1" showErrorMessage="1" sqref="N3" xr:uid="{420E5A8B-1FC3-4C81-8F56-B96A307EAD13}">
      <formula1>"X"</formula1>
    </dataValidation>
    <dataValidation type="list" allowBlank="1" showInputMessage="1" showErrorMessage="1" sqref="F3" xr:uid="{4FB5C6B2-E33C-4F5E-AB4C-03FE14257A3F}">
      <formula1>UserKurz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7CD5-F763-4C21-8960-4965AD5DB42A}">
  <sheetPr codeName="shKunden"/>
  <dimension ref="A1:N7"/>
  <sheetViews>
    <sheetView zoomScale="110" zoomScaleNormal="110" workbookViewId="0">
      <pane ySplit="2" topLeftCell="A3" activePane="bottomLeft" state="frozen"/>
      <selection pane="bottomLeft" activeCell="A2" sqref="A2:N2"/>
    </sheetView>
  </sheetViews>
  <sheetFormatPr baseColWidth="10" defaultRowHeight="15" x14ac:dyDescent="0.25"/>
  <cols>
    <col min="1" max="1" width="38.75" customWidth="1"/>
    <col min="2" max="2" width="21.625" customWidth="1"/>
    <col min="3" max="3" width="5.875" bestFit="1" customWidth="1"/>
    <col min="4" max="4" width="17" customWidth="1"/>
    <col min="5" max="5" width="5.25" bestFit="1" customWidth="1"/>
    <col min="6" max="6" width="8" bestFit="1" customWidth="1"/>
    <col min="7" max="7" width="5.875" bestFit="1" customWidth="1"/>
    <col min="8" max="8" width="8.875" bestFit="1" customWidth="1"/>
    <col min="9" max="9" width="33.625" bestFit="1" customWidth="1"/>
    <col min="10" max="10" width="25" bestFit="1" customWidth="1"/>
    <col min="11" max="11" width="44.125" bestFit="1" customWidth="1"/>
    <col min="12" max="12" width="22.5" bestFit="1" customWidth="1"/>
    <col min="13" max="13" width="11.5" bestFit="1" customWidth="1"/>
    <col min="14" max="14" width="8.875" bestFit="1" customWidth="1"/>
  </cols>
  <sheetData>
    <row r="1" spans="1:14" s="24" customFormat="1" ht="42" customHeight="1" x14ac:dyDescent="0.25">
      <c r="A1" s="23" t="s">
        <v>41</v>
      </c>
    </row>
    <row r="2" spans="1:14" s="3" customFormat="1" ht="42" customHeight="1" x14ac:dyDescent="0.25">
      <c r="A2" s="3" t="s">
        <v>0</v>
      </c>
      <c r="B2" s="3" t="s">
        <v>1</v>
      </c>
      <c r="C2" s="3" t="s">
        <v>42</v>
      </c>
      <c r="D2" s="3" t="s">
        <v>2</v>
      </c>
      <c r="E2" s="3" t="s">
        <v>50</v>
      </c>
      <c r="F2" s="3" t="s">
        <v>51</v>
      </c>
      <c r="G2" s="3" t="s">
        <v>43</v>
      </c>
      <c r="H2" s="3" t="s">
        <v>44</v>
      </c>
      <c r="I2" s="3" t="s">
        <v>45</v>
      </c>
      <c r="J2" s="3" t="s">
        <v>46</v>
      </c>
      <c r="K2" s="3" t="s">
        <v>47</v>
      </c>
      <c r="L2" s="3" t="s">
        <v>48</v>
      </c>
      <c r="M2" s="3" t="s">
        <v>49</v>
      </c>
      <c r="N2" s="3" t="s">
        <v>11</v>
      </c>
    </row>
    <row r="3" spans="1:14" x14ac:dyDescent="0.25">
      <c r="A3" s="37" t="s">
        <v>4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8">
        <v>12001</v>
      </c>
    </row>
    <row r="4" spans="1:14" x14ac:dyDescent="0.25">
      <c r="A4" s="37" t="s">
        <v>39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8">
        <v>12002</v>
      </c>
    </row>
    <row r="5" spans="1:14" x14ac:dyDescent="0.25">
      <c r="A5" s="37" t="s">
        <v>189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8">
        <v>12003</v>
      </c>
    </row>
    <row r="6" spans="1:14" x14ac:dyDescent="0.25">
      <c r="A6" s="37" t="s">
        <v>190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8">
        <v>12004</v>
      </c>
    </row>
    <row r="7" spans="1:14" x14ac:dyDescent="0.25">
      <c r="A7" s="37" t="s">
        <v>191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8">
        <v>12005</v>
      </c>
    </row>
  </sheetData>
  <conditionalFormatting sqref="N3:N7">
    <cfRule type="duplicateValues" dxfId="35" priority="19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FD943-FA72-46D8-8D10-C89D15900C58}">
  <sheetPr codeName="shUsers"/>
  <dimension ref="A1:I11"/>
  <sheetViews>
    <sheetView workbookViewId="0">
      <selection activeCell="C4" sqref="C4"/>
    </sheetView>
  </sheetViews>
  <sheetFormatPr baseColWidth="10" defaultRowHeight="15" x14ac:dyDescent="0.25"/>
  <cols>
    <col min="1" max="1" width="13.875" style="57" bestFit="1" customWidth="1"/>
    <col min="2" max="2" width="6.875" style="57" bestFit="1" customWidth="1"/>
    <col min="3" max="3" width="7.375" style="57" customWidth="1"/>
    <col min="4" max="4" width="11.75" style="57" bestFit="1" customWidth="1"/>
    <col min="5" max="5" width="10.25" style="57" bestFit="1" customWidth="1"/>
    <col min="6" max="6" width="8" style="57" bestFit="1" customWidth="1"/>
    <col min="7" max="7" width="18.75" style="57" bestFit="1" customWidth="1"/>
    <col min="8" max="8" width="12.5" style="57" bestFit="1" customWidth="1"/>
    <col min="9" max="9" width="23.5" style="57" bestFit="1" customWidth="1"/>
    <col min="10" max="16384" width="11" style="57"/>
  </cols>
  <sheetData>
    <row r="1" spans="1:9" s="56" customFormat="1" ht="42" customHeight="1" x14ac:dyDescent="0.25">
      <c r="A1" s="56" t="s">
        <v>126</v>
      </c>
    </row>
    <row r="2" spans="1:9" ht="42" customHeight="1" x14ac:dyDescent="0.25">
      <c r="A2" s="57" t="s">
        <v>126</v>
      </c>
      <c r="B2" s="57" t="s">
        <v>180</v>
      </c>
      <c r="C2" s="58" t="s">
        <v>193</v>
      </c>
      <c r="D2" s="57" t="s">
        <v>127</v>
      </c>
      <c r="E2" s="57" t="s">
        <v>128</v>
      </c>
      <c r="F2" s="57" t="s">
        <v>129</v>
      </c>
      <c r="G2" s="57" t="s">
        <v>130</v>
      </c>
      <c r="H2" s="57" t="s">
        <v>44</v>
      </c>
      <c r="I2" s="57" t="s">
        <v>45</v>
      </c>
    </row>
    <row r="3" spans="1:9" x14ac:dyDescent="0.25">
      <c r="A3" s="57" t="s">
        <v>131</v>
      </c>
      <c r="B3" s="58" t="s">
        <v>13</v>
      </c>
      <c r="C3" s="58" t="s">
        <v>13</v>
      </c>
      <c r="D3" s="57" t="s">
        <v>132</v>
      </c>
      <c r="E3" s="57" t="s">
        <v>133</v>
      </c>
      <c r="F3" s="57" t="s">
        <v>21</v>
      </c>
      <c r="G3" s="57" t="s">
        <v>134</v>
      </c>
      <c r="H3" s="57" t="s">
        <v>135</v>
      </c>
      <c r="I3" s="57" t="s">
        <v>136</v>
      </c>
    </row>
    <row r="4" spans="1:9" x14ac:dyDescent="0.25">
      <c r="A4" s="57" t="s">
        <v>40</v>
      </c>
      <c r="B4" s="58" t="s">
        <v>13</v>
      </c>
      <c r="C4" s="58" t="s">
        <v>13</v>
      </c>
      <c r="D4" s="57" t="s">
        <v>137</v>
      </c>
      <c r="E4" s="57" t="s">
        <v>138</v>
      </c>
      <c r="F4" s="57" t="s">
        <v>139</v>
      </c>
      <c r="G4" s="57" t="s">
        <v>140</v>
      </c>
      <c r="I4" s="57" t="s">
        <v>141</v>
      </c>
    </row>
    <row r="5" spans="1:9" x14ac:dyDescent="0.25">
      <c r="A5" s="57" t="s">
        <v>142</v>
      </c>
      <c r="B5" s="58" t="s">
        <v>13</v>
      </c>
      <c r="C5" s="58"/>
      <c r="D5" s="57" t="s">
        <v>143</v>
      </c>
      <c r="E5" s="57" t="s">
        <v>144</v>
      </c>
      <c r="F5" s="57" t="s">
        <v>145</v>
      </c>
      <c r="G5" s="57" t="s">
        <v>104</v>
      </c>
      <c r="I5" s="57" t="s">
        <v>146</v>
      </c>
    </row>
    <row r="6" spans="1:9" x14ac:dyDescent="0.25">
      <c r="A6" s="57" t="s">
        <v>147</v>
      </c>
      <c r="B6" s="58"/>
      <c r="C6" s="58"/>
      <c r="D6" s="57" t="s">
        <v>148</v>
      </c>
      <c r="E6" s="57" t="s">
        <v>149</v>
      </c>
      <c r="F6" s="57" t="s">
        <v>150</v>
      </c>
      <c r="G6" s="57" t="s">
        <v>104</v>
      </c>
      <c r="I6" s="57" t="s">
        <v>151</v>
      </c>
    </row>
    <row r="7" spans="1:9" x14ac:dyDescent="0.25">
      <c r="A7" s="57" t="s">
        <v>152</v>
      </c>
      <c r="B7" s="58" t="s">
        <v>13</v>
      </c>
      <c r="C7" s="58"/>
      <c r="D7" s="57" t="s">
        <v>153</v>
      </c>
      <c r="E7" s="57" t="s">
        <v>154</v>
      </c>
      <c r="F7" s="57" t="s">
        <v>20</v>
      </c>
      <c r="G7" s="57" t="s">
        <v>104</v>
      </c>
      <c r="I7" s="57" t="s">
        <v>155</v>
      </c>
    </row>
    <row r="8" spans="1:9" x14ac:dyDescent="0.25">
      <c r="A8" s="57" t="s">
        <v>156</v>
      </c>
      <c r="B8" s="58" t="s">
        <v>13</v>
      </c>
      <c r="C8" s="58"/>
      <c r="D8" s="57" t="s">
        <v>157</v>
      </c>
      <c r="E8" s="57" t="s">
        <v>154</v>
      </c>
      <c r="F8" s="57" t="s">
        <v>18</v>
      </c>
      <c r="G8" s="57" t="s">
        <v>104</v>
      </c>
      <c r="I8" s="57" t="s">
        <v>158</v>
      </c>
    </row>
    <row r="9" spans="1:9" x14ac:dyDescent="0.25">
      <c r="A9" s="57" t="s">
        <v>159</v>
      </c>
      <c r="B9" s="58" t="s">
        <v>13</v>
      </c>
      <c r="C9" s="58"/>
      <c r="D9" s="57" t="s">
        <v>160</v>
      </c>
      <c r="E9" s="57" t="s">
        <v>161</v>
      </c>
      <c r="F9" s="57" t="s">
        <v>162</v>
      </c>
      <c r="G9" s="57" t="s">
        <v>104</v>
      </c>
      <c r="I9" s="57" t="s">
        <v>163</v>
      </c>
    </row>
    <row r="10" spans="1:9" x14ac:dyDescent="0.25">
      <c r="A10" s="57" t="s">
        <v>164</v>
      </c>
      <c r="B10" s="58" t="s">
        <v>13</v>
      </c>
      <c r="C10" s="58"/>
      <c r="D10" s="57" t="s">
        <v>165</v>
      </c>
      <c r="E10" s="57" t="s">
        <v>166</v>
      </c>
      <c r="F10" s="57" t="s">
        <v>19</v>
      </c>
      <c r="G10" s="57" t="s">
        <v>104</v>
      </c>
      <c r="I10" s="57" t="s">
        <v>167</v>
      </c>
    </row>
    <row r="11" spans="1:9" x14ac:dyDescent="0.25">
      <c r="A11" s="57" t="s">
        <v>168</v>
      </c>
      <c r="B11" s="58"/>
      <c r="C11" s="58"/>
      <c r="D11" s="57" t="s">
        <v>169</v>
      </c>
      <c r="E11" s="57" t="s">
        <v>170</v>
      </c>
      <c r="F11" s="57" t="s">
        <v>171</v>
      </c>
      <c r="G11" s="57" t="s">
        <v>104</v>
      </c>
      <c r="I11" s="57" t="s">
        <v>172</v>
      </c>
    </row>
  </sheetData>
  <dataValidations count="1">
    <dataValidation type="list" allowBlank="1" showInputMessage="1" showErrorMessage="1" sqref="C3:C11 B3:C11" xr:uid="{77AE9B5D-AFC6-4B83-B3CF-C2AAFE52EC31}">
      <formula1>"X"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35496-D839-471C-90FA-41BD9BFF99DC}">
  <sheetPr codeName="shOptionen"/>
  <dimension ref="A1:C29"/>
  <sheetViews>
    <sheetView workbookViewId="0">
      <selection activeCell="C6" sqref="C6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44" customFormat="1" ht="42" customHeight="1" x14ac:dyDescent="0.25">
      <c r="A1" s="42" t="s">
        <v>55</v>
      </c>
      <c r="B1" s="43"/>
    </row>
    <row r="2" spans="1:3" ht="42" customHeight="1" x14ac:dyDescent="0.25">
      <c r="A2" s="2" t="s">
        <v>56</v>
      </c>
      <c r="B2" s="2" t="s">
        <v>57</v>
      </c>
      <c r="C2" s="2" t="s">
        <v>58</v>
      </c>
    </row>
    <row r="3" spans="1:3" x14ac:dyDescent="0.25">
      <c r="A3" s="12" t="s">
        <v>59</v>
      </c>
      <c r="B3" s="12" t="s">
        <v>60</v>
      </c>
      <c r="C3" s="37" t="s">
        <v>61</v>
      </c>
    </row>
    <row r="4" spans="1:3" x14ac:dyDescent="0.25">
      <c r="A4" s="12" t="s">
        <v>62</v>
      </c>
      <c r="B4" s="12" t="s">
        <v>63</v>
      </c>
      <c r="C4" s="12">
        <v>12001</v>
      </c>
    </row>
    <row r="5" spans="1:3" x14ac:dyDescent="0.25">
      <c r="A5" s="12" t="s">
        <v>64</v>
      </c>
      <c r="B5" s="12" t="s">
        <v>65</v>
      </c>
      <c r="C5" s="12">
        <v>15001</v>
      </c>
    </row>
    <row r="6" spans="1:3" x14ac:dyDescent="0.25">
      <c r="A6" s="12" t="s">
        <v>66</v>
      </c>
      <c r="B6" s="12" t="s">
        <v>67</v>
      </c>
      <c r="C6" s="12">
        <v>80001</v>
      </c>
    </row>
    <row r="7" spans="1:3" x14ac:dyDescent="0.25">
      <c r="A7" s="12" t="s">
        <v>68</v>
      </c>
      <c r="B7" s="12" t="s">
        <v>69</v>
      </c>
      <c r="C7" s="12" t="s">
        <v>70</v>
      </c>
    </row>
    <row r="8" spans="1:3" x14ac:dyDescent="0.25">
      <c r="A8" s="12" t="s">
        <v>71</v>
      </c>
      <c r="B8" s="12" t="s">
        <v>72</v>
      </c>
      <c r="C8" s="12">
        <v>14</v>
      </c>
    </row>
    <row r="9" spans="1:3" x14ac:dyDescent="0.25">
      <c r="A9" s="12" t="s">
        <v>73</v>
      </c>
      <c r="B9" s="12" t="s">
        <v>74</v>
      </c>
      <c r="C9" s="55">
        <v>0.19</v>
      </c>
    </row>
    <row r="10" spans="1:3" x14ac:dyDescent="0.25">
      <c r="A10" s="12" t="s">
        <v>75</v>
      </c>
      <c r="B10" s="12" t="s">
        <v>76</v>
      </c>
      <c r="C10" s="12" t="s">
        <v>4</v>
      </c>
    </row>
    <row r="11" spans="1:3" x14ac:dyDescent="0.25">
      <c r="A11" s="12" t="s">
        <v>77</v>
      </c>
      <c r="B11" s="12" t="s">
        <v>78</v>
      </c>
      <c r="C11" s="12" t="s">
        <v>5</v>
      </c>
    </row>
    <row r="12" spans="1:3" x14ac:dyDescent="0.25">
      <c r="A12" s="12" t="s">
        <v>79</v>
      </c>
      <c r="B12" s="12" t="s">
        <v>80</v>
      </c>
      <c r="C12" s="12">
        <v>28307</v>
      </c>
    </row>
    <row r="13" spans="1:3" x14ac:dyDescent="0.25">
      <c r="A13" s="12" t="s">
        <v>81</v>
      </c>
      <c r="B13" s="12" t="s">
        <v>82</v>
      </c>
      <c r="C13" s="12" t="s">
        <v>3</v>
      </c>
    </row>
    <row r="14" spans="1:3" x14ac:dyDescent="0.25">
      <c r="A14" s="12" t="s">
        <v>83</v>
      </c>
      <c r="B14" s="12" t="s">
        <v>84</v>
      </c>
      <c r="C14" s="12" t="s">
        <v>85</v>
      </c>
    </row>
    <row r="15" spans="1:3" x14ac:dyDescent="0.25">
      <c r="A15" s="12" t="s">
        <v>86</v>
      </c>
      <c r="B15" s="12" t="s">
        <v>87</v>
      </c>
      <c r="C15" s="12" t="s">
        <v>53</v>
      </c>
    </row>
    <row r="16" spans="1:3" x14ac:dyDescent="0.25">
      <c r="A16" s="12" t="s">
        <v>88</v>
      </c>
      <c r="B16" s="12" t="s">
        <v>89</v>
      </c>
      <c r="C16" s="12" t="s">
        <v>90</v>
      </c>
    </row>
    <row r="17" spans="1:3" x14ac:dyDescent="0.25">
      <c r="A17" s="12" t="s">
        <v>91</v>
      </c>
      <c r="B17" s="12" t="s">
        <v>92</v>
      </c>
      <c r="C17" s="12" t="s">
        <v>93</v>
      </c>
    </row>
    <row r="18" spans="1:3" x14ac:dyDescent="0.25">
      <c r="A18" s="12" t="s">
        <v>94</v>
      </c>
      <c r="B18" s="12" t="s">
        <v>95</v>
      </c>
      <c r="C18" s="12" t="s">
        <v>96</v>
      </c>
    </row>
    <row r="19" spans="1:3" x14ac:dyDescent="0.25">
      <c r="A19" s="12" t="s">
        <v>97</v>
      </c>
      <c r="B19" s="12" t="s">
        <v>98</v>
      </c>
      <c r="C19" s="12" t="s">
        <v>99</v>
      </c>
    </row>
    <row r="20" spans="1:3" x14ac:dyDescent="0.25">
      <c r="A20" s="12" t="s">
        <v>100</v>
      </c>
      <c r="B20" s="12" t="s">
        <v>101</v>
      </c>
      <c r="C20" s="12" t="s">
        <v>52</v>
      </c>
    </row>
    <row r="21" spans="1:3" x14ac:dyDescent="0.25">
      <c r="A21" s="12" t="s">
        <v>102</v>
      </c>
      <c r="B21" s="12" t="s">
        <v>103</v>
      </c>
      <c r="C21" s="12" t="s">
        <v>104</v>
      </c>
    </row>
    <row r="22" spans="1:3" x14ac:dyDescent="0.25">
      <c r="A22" s="12" t="s">
        <v>105</v>
      </c>
      <c r="B22" s="12" t="s">
        <v>106</v>
      </c>
      <c r="C22" s="12" t="s">
        <v>107</v>
      </c>
    </row>
    <row r="23" spans="1:3" x14ac:dyDescent="0.25">
      <c r="A23" s="12" t="s">
        <v>108</v>
      </c>
      <c r="B23" s="12" t="s">
        <v>109</v>
      </c>
      <c r="C23" s="12" t="s">
        <v>110</v>
      </c>
    </row>
    <row r="24" spans="1:3" x14ac:dyDescent="0.25">
      <c r="A24" s="12" t="s">
        <v>111</v>
      </c>
      <c r="B24" s="12" t="s">
        <v>112</v>
      </c>
      <c r="C24" s="13">
        <v>-84.03</v>
      </c>
    </row>
    <row r="25" spans="1:3" x14ac:dyDescent="0.25">
      <c r="A25" s="12" t="s">
        <v>113</v>
      </c>
      <c r="B25" s="12" t="s">
        <v>114</v>
      </c>
      <c r="C25" s="12" t="s">
        <v>54</v>
      </c>
    </row>
    <row r="26" spans="1:3" x14ac:dyDescent="0.25">
      <c r="A26" s="12" t="s">
        <v>115</v>
      </c>
      <c r="B26" s="12" t="s">
        <v>116</v>
      </c>
      <c r="C26" s="12">
        <v>3</v>
      </c>
    </row>
    <row r="27" spans="1:3" x14ac:dyDescent="0.25">
      <c r="A27" s="12" t="s">
        <v>117</v>
      </c>
      <c r="B27" s="12" t="s">
        <v>118</v>
      </c>
      <c r="C27" s="12" t="s">
        <v>119</v>
      </c>
    </row>
    <row r="28" spans="1:3" x14ac:dyDescent="0.25">
      <c r="A28" s="12" t="s">
        <v>120</v>
      </c>
      <c r="B28" s="12" t="s">
        <v>121</v>
      </c>
      <c r="C28" s="12" t="s">
        <v>122</v>
      </c>
    </row>
    <row r="29" spans="1:3" x14ac:dyDescent="0.25">
      <c r="A29" s="12" t="s">
        <v>123</v>
      </c>
      <c r="B29" s="12" t="s">
        <v>124</v>
      </c>
      <c r="C29" s="12" t="s">
        <v>125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E041C-284C-46A0-8D1D-14CF76A1F30A}">
  <sheetPr codeName="shDeveloper"/>
  <dimension ref="A1:F11"/>
  <sheetViews>
    <sheetView tabSelected="1" workbookViewId="0">
      <selection activeCell="F7" sqref="F7:F11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73.875" customWidth="1"/>
  </cols>
  <sheetData>
    <row r="1" spans="1:6" ht="21" x14ac:dyDescent="0.25">
      <c r="A1" s="25" t="s">
        <v>173</v>
      </c>
      <c r="B1" s="26"/>
      <c r="C1" s="27"/>
      <c r="D1" s="26"/>
      <c r="E1" s="26"/>
      <c r="F1" s="26"/>
    </row>
    <row r="2" spans="1:6" x14ac:dyDescent="0.25">
      <c r="A2" s="28"/>
      <c r="B2" s="28"/>
      <c r="C2" s="28"/>
      <c r="D2" s="28"/>
      <c r="E2" s="28"/>
      <c r="F2" s="28"/>
    </row>
    <row r="3" spans="1:6" x14ac:dyDescent="0.25">
      <c r="A3" s="28" t="s">
        <v>174</v>
      </c>
      <c r="B3" s="29" t="s">
        <v>200</v>
      </c>
      <c r="C3" s="28"/>
      <c r="D3" s="28"/>
      <c r="E3" s="28"/>
      <c r="F3" s="28"/>
    </row>
    <row r="4" spans="1:6" x14ac:dyDescent="0.25">
      <c r="A4" s="28" t="s">
        <v>175</v>
      </c>
      <c r="B4" s="29" t="s">
        <v>176</v>
      </c>
      <c r="C4" s="28"/>
      <c r="D4" s="28"/>
      <c r="E4" s="28"/>
      <c r="F4" s="28"/>
    </row>
    <row r="5" spans="1:6" ht="30" x14ac:dyDescent="0.25">
      <c r="A5" s="30" t="s">
        <v>177</v>
      </c>
      <c r="B5" s="31" t="s">
        <v>178</v>
      </c>
      <c r="C5" s="28"/>
      <c r="D5" s="32"/>
      <c r="E5" s="33"/>
      <c r="F5" s="34"/>
    </row>
    <row r="6" spans="1:6" x14ac:dyDescent="0.25">
      <c r="A6" s="1" t="s">
        <v>179</v>
      </c>
      <c r="B6" s="1" t="s">
        <v>184</v>
      </c>
      <c r="C6" s="1" t="s">
        <v>185</v>
      </c>
      <c r="D6" s="1" t="s">
        <v>186</v>
      </c>
      <c r="E6" s="1" t="s">
        <v>187</v>
      </c>
      <c r="F6" s="1" t="s">
        <v>188</v>
      </c>
    </row>
    <row r="7" spans="1:6" x14ac:dyDescent="0.25">
      <c r="A7" s="3" t="s">
        <v>197</v>
      </c>
      <c r="C7" s="35" t="str">
        <f>_xlfn.REGEXREPLACE(tblDeveloper[[#This Row],[Headers]], "\W", "")</f>
        <v>Karteikarte</v>
      </c>
      <c r="D7" s="36" t="str">
        <f>IF(DevEnumPrefix = "", "",DevEnumPrefix &amp; tblDeveloper[[#This Row],[VBA Names]] &amp; IF(ROW() = 7, " = 1", ""))</f>
        <v>xfliKarteikarte = 1</v>
      </c>
      <c r="E7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Karteikarte As String</v>
      </c>
      <c r="F7" s="36" t="str">
        <f>IF(ISBLANK(DevEnumPrefix), "", tblDeveloper[[#This Row],[VBA Names]] &amp; " = " &amp; "values(1, " &amp; DevEnumPrefix &amp; tblDeveloper[[#This Row],[VBA Names]] &amp; ")")</f>
        <v>Karteikarte = values(1, xfliKarteikarte)</v>
      </c>
    </row>
    <row r="8" spans="1:6" x14ac:dyDescent="0.25">
      <c r="A8" s="59" t="s">
        <v>195</v>
      </c>
      <c r="B8" t="s">
        <v>195</v>
      </c>
      <c r="C8" s="35" t="str">
        <f>_xlfn.REGEXREPLACE(tblDeveloper[[#This Row],[Headers]], "\W", "")</f>
        <v>Date</v>
      </c>
      <c r="D8" s="36" t="str">
        <f>IF(DevEnumPrefix = "", "",DevEnumPrefix &amp; tblDeveloper[[#This Row],[VBA Names]] &amp; IF(ROW() = 7, " = 1", ""))</f>
        <v>xfliDate</v>
      </c>
      <c r="E8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Date As Date</v>
      </c>
      <c r="F8" s="36" t="str">
        <f>IF(ISBLANK(DevEnumPrefix), "", tblDeveloper[[#This Row],[VBA Names]] &amp; " = " &amp; "values(1, " &amp; DevEnumPrefix &amp; tblDeveloper[[#This Row],[VBA Names]] &amp; ")")</f>
        <v>Date = values(1, xfliDate)</v>
      </c>
    </row>
    <row r="9" spans="1:6" x14ac:dyDescent="0.25">
      <c r="A9" s="59" t="s">
        <v>198</v>
      </c>
      <c r="B9" t="s">
        <v>196</v>
      </c>
      <c r="C9" s="35" t="str">
        <f>_xlfn.REGEXREPLACE(tblDeveloper[[#This Row],[Headers]], "\W", "")</f>
        <v>Size</v>
      </c>
      <c r="D9" s="36" t="str">
        <f>IF(DevEnumPrefix = "", "",DevEnumPrefix &amp; tblDeveloper[[#This Row],[VBA Names]] &amp; IF(ROW() = 7, " = 1", ""))</f>
        <v>xfliSize</v>
      </c>
      <c r="E9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Size As Long</v>
      </c>
      <c r="F9" s="36" t="str">
        <f>IF(ISBLANK(DevEnumPrefix), "", tblDeveloper[[#This Row],[VBA Names]] &amp; " = " &amp; "values(1, " &amp; DevEnumPrefix &amp; tblDeveloper[[#This Row],[VBA Names]] &amp; ")")</f>
        <v>Size = values(1, xfliSize)</v>
      </c>
    </row>
    <row r="10" spans="1:6" x14ac:dyDescent="0.25">
      <c r="A10" s="59" t="s">
        <v>194</v>
      </c>
      <c r="C10" s="35" t="str">
        <f>_xlfn.REGEXREPLACE(tblDeveloper[[#This Row],[Headers]], "\W", "")</f>
        <v>Link</v>
      </c>
      <c r="D10" s="36" t="str">
        <f>IF(DevEnumPrefix = "", "",DevEnumPrefix &amp; tblDeveloper[[#This Row],[VBA Names]] &amp; IF(ROW() = 7, " = 1", ""))</f>
        <v>xfliLink</v>
      </c>
      <c r="E10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Link As String</v>
      </c>
      <c r="F10" s="36" t="str">
        <f>IF(ISBLANK(DevEnumPrefix), "", tblDeveloper[[#This Row],[VBA Names]] &amp; " = " &amp; "values(1, " &amp; DevEnumPrefix &amp; tblDeveloper[[#This Row],[VBA Names]] &amp; ")")</f>
        <v>Link = values(1, xfliLink)</v>
      </c>
    </row>
    <row r="11" spans="1:6" x14ac:dyDescent="0.25">
      <c r="A11" s="59" t="s">
        <v>199</v>
      </c>
      <c r="C11" s="35" t="str">
        <f>_xlfn.REGEXREPLACE(tblDeveloper[[#This Row],[Headers]], "\W", "")</f>
        <v>Fullname</v>
      </c>
      <c r="D11" s="60" t="str">
        <f>IF(DevEnumPrefix = "", "",DevEnumPrefix &amp; tblDeveloper[[#This Row],[VBA Names]] &amp; IF(ROW() = 7, " = 1", ""))</f>
        <v>xfliFullname</v>
      </c>
      <c r="E11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Fullname As String</v>
      </c>
      <c r="F11" s="60" t="str">
        <f>IF(ISBLANK(DevEnumPrefix), "", tblDeveloper[[#This Row],[VBA Names]] &amp; " = " &amp; "values(1, " &amp; DevEnumPrefix &amp; tblDeveloper[[#This Row],[VBA Names]] &amp; ")")</f>
        <v>Fullname = values(1, xfliFullname)</v>
      </c>
    </row>
  </sheetData>
  <phoneticPr fontId="15" type="noConversion"/>
  <dataValidations count="2">
    <dataValidation type="list" allowBlank="1" showInputMessage="1" showErrorMessage="1" sqref="B4" xr:uid="{3085205C-583B-4E21-992D-CEA03983A73C}">
      <formula1>"Public,Private"</formula1>
    </dataValidation>
    <dataValidation type="list" allowBlank="1" showInputMessage="1" showErrorMessage="1" sqref="B7:B11" xr:uid="{B62220C3-D75B-4697-96FD-3D53C122A15C}">
      <formula1>"Date,Currency,Double,Long,Int"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B4A45-7A3B-401C-9A88-C58A10271170}">
  <sheetPr codeName="shLogin"/>
  <dimension ref="A1"/>
  <sheetViews>
    <sheetView workbookViewId="0">
      <selection activeCell="B1" sqref="B1:B104857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5</vt:i4>
      </vt:variant>
    </vt:vector>
  </HeadingPairs>
  <TitlesOfParts>
    <vt:vector size="11" baseType="lpstr">
      <vt:lpstr>Belege</vt:lpstr>
      <vt:lpstr>Bestellungen</vt:lpstr>
      <vt:lpstr>Kunden</vt:lpstr>
      <vt:lpstr>Benutzer</vt:lpstr>
      <vt:lpstr>Optionen</vt:lpstr>
      <vt:lpstr>Developer</vt:lpstr>
      <vt:lpstr>DevEnumPrefix</vt:lpstr>
      <vt:lpstr>DevVarPrefix</vt:lpstr>
      <vt:lpstr>Kunden</vt:lpstr>
      <vt:lpstr>UserKurz</vt:lpstr>
      <vt:lpstr>Usernames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2026-04-17T16:48:46Z</cp:lastPrinted>
  <dcterms:created xsi:type="dcterms:W3CDTF">2026-04-16T18:38:54Z</dcterms:created>
  <dcterms:modified xsi:type="dcterms:W3CDTF">2026-04-22T15:26:29Z</dcterms:modified>
</cp:coreProperties>
</file>