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DieseArbeitsmappe"/>
  <mc:AlternateContent xmlns:mc="http://schemas.openxmlformats.org/markup-compatibility/2006">
    <mc:Choice Requires="x15">
      <x15ac:absPath xmlns:x15ac="http://schemas.microsoft.com/office/spreadsheetml/2010/11/ac" url="X:\Faktura3\"/>
    </mc:Choice>
  </mc:AlternateContent>
  <xr:revisionPtr revIDLastSave="0" documentId="13_ncr:1_{D343CD55-8354-430F-9976-5E92520CBBDD}" xr6:coauthVersionLast="47" xr6:coauthVersionMax="47" xr10:uidLastSave="{00000000-0000-0000-0000-000000000000}"/>
  <bookViews>
    <workbookView xWindow="-120" yWindow="-120" windowWidth="38640" windowHeight="21120" xr2:uid="{8D8A7297-29AF-4855-B0FC-36C74E96B491}"/>
  </bookViews>
  <sheets>
    <sheet name="Belege" sheetId="3" r:id="rId1"/>
    <sheet name="Kunden" sheetId="1" r:id="rId2"/>
    <sheet name="Optionen" sheetId="4" r:id="rId3"/>
    <sheet name="Benutzer" sheetId="5" r:id="rId4"/>
    <sheet name="Developer" sheetId="2" r:id="rId5"/>
  </sheets>
  <functionGroups builtInGroupCount="19"/>
  <definedNames>
    <definedName name="EnumPrefix">Developer!$B$3</definedName>
    <definedName name="Kunden">tblKunden[Name]</definedName>
    <definedName name="VariablePrefix">Developer!$B$4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F8" i="3" l="1"/>
  <c r="G8" i="3"/>
  <c r="K8" i="3"/>
  <c r="K7" i="3"/>
  <c r="F7" i="3"/>
  <c r="G7" i="3"/>
  <c r="F6" i="3"/>
  <c r="G6" i="3"/>
  <c r="K6" i="3"/>
  <c r="K3" i="3" l="1"/>
  <c r="F3" i="3" l="1"/>
  <c r="F4" i="3"/>
  <c r="F5" i="3"/>
  <c r="C14" i="2" l="1"/>
  <c r="C15" i="2"/>
  <c r="C16" i="2"/>
  <c r="F16" i="2" s="1"/>
  <c r="C17" i="2"/>
  <c r="C18" i="2"/>
  <c r="F18" i="2" s="1"/>
  <c r="C19" i="2"/>
  <c r="F19" i="2" s="1"/>
  <c r="D14" i="2"/>
  <c r="D15" i="2"/>
  <c r="D17" i="2"/>
  <c r="D18" i="2"/>
  <c r="D19" i="2"/>
  <c r="E14" i="2"/>
  <c r="E15" i="2"/>
  <c r="E17" i="2"/>
  <c r="E18" i="2"/>
  <c r="E19" i="2"/>
  <c r="F14" i="2"/>
  <c r="F15" i="2"/>
  <c r="F17" i="2"/>
  <c r="C7" i="2"/>
  <c r="F7" i="2" s="1"/>
  <c r="E16" i="2" l="1"/>
  <c r="D16" i="2"/>
  <c r="E7" i="2"/>
  <c r="D7" i="2"/>
  <c r="C9" i="2" l="1"/>
  <c r="D9" i="2" s="1"/>
  <c r="C10" i="2"/>
  <c r="C11" i="2"/>
  <c r="C12" i="2"/>
  <c r="C13" i="2"/>
  <c r="C8" i="2"/>
  <c r="G5" i="3"/>
  <c r="K5" i="3"/>
  <c r="G4" i="3"/>
  <c r="K4" i="3"/>
  <c r="G3" i="3"/>
  <c r="E9" i="2" l="1"/>
  <c r="F9" i="2"/>
  <c r="D10" i="2"/>
  <c r="E10" i="2"/>
  <c r="F10" i="2"/>
  <c r="D11" i="2"/>
  <c r="E11" i="2"/>
  <c r="F11" i="2"/>
  <c r="D12" i="2"/>
  <c r="E12" i="2"/>
  <c r="F12" i="2"/>
  <c r="D13" i="2"/>
  <c r="E13" i="2"/>
  <c r="F13" i="2"/>
  <c r="E8" i="2"/>
  <c r="F8" i="2"/>
  <c r="D8" i="2"/>
</calcChain>
</file>

<file path=xl/sharedStrings.xml><?xml version="1.0" encoding="utf-8"?>
<sst xmlns="http://schemas.openxmlformats.org/spreadsheetml/2006/main" count="241" uniqueCount="190">
  <si>
    <t>Name</t>
  </si>
  <si>
    <t>Strasse</t>
  </si>
  <si>
    <t>PLZ</t>
  </si>
  <si>
    <t>Ort</t>
  </si>
  <si>
    <t>TalkServ GmbH</t>
  </si>
  <si>
    <t>Thalenhorststr. 15a</t>
  </si>
  <si>
    <t>Bremen</t>
  </si>
  <si>
    <t>Meyer, Joe</t>
  </si>
  <si>
    <t>Developer Sheet</t>
  </si>
  <si>
    <t>Paste via Transpose</t>
  </si>
  <si>
    <t>Variable type
empty=String</t>
  </si>
  <si>
    <t>Headers</t>
  </si>
  <si>
    <t>Type</t>
  </si>
  <si>
    <t>VBA</t>
  </si>
  <si>
    <t>Enum</t>
  </si>
  <si>
    <t>Variable Declaration</t>
  </si>
  <si>
    <t>Assignment</t>
  </si>
  <si>
    <t>Datum</t>
  </si>
  <si>
    <t>Kunde</t>
  </si>
  <si>
    <t>Netto</t>
  </si>
  <si>
    <t>Brutto</t>
  </si>
  <si>
    <t>Referenz</t>
  </si>
  <si>
    <t>Variables Prefix</t>
  </si>
  <si>
    <t>Enums Prefix</t>
  </si>
  <si>
    <t>Rechnung</t>
  </si>
  <si>
    <t>Beleg-Nr.</t>
  </si>
  <si>
    <t>Beleg-Art</t>
  </si>
  <si>
    <t>Belege</t>
  </si>
  <si>
    <t>Debitor</t>
  </si>
  <si>
    <t>Email</t>
  </si>
  <si>
    <t>Bank</t>
  </si>
  <si>
    <t>IBAN</t>
  </si>
  <si>
    <t>BIC</t>
  </si>
  <si>
    <t>info@talkserv.de</t>
  </si>
  <si>
    <t>joachim290657@gmail.com</t>
  </si>
  <si>
    <t>KSK Verden</t>
  </si>
  <si>
    <t>DE22 2222 2222 2222 2222 22</t>
  </si>
  <si>
    <t>DE20 2915 2670 0020 9095 60</t>
  </si>
  <si>
    <t>Kunden</t>
  </si>
  <si>
    <t>Beleg-ID</t>
  </si>
  <si>
    <t>Testkunde</t>
  </si>
  <si>
    <t>Einstellung</t>
  </si>
  <si>
    <t>Wert</t>
  </si>
  <si>
    <t>Version</t>
  </si>
  <si>
    <t>Rechnungsvorlage</t>
  </si>
  <si>
    <t>Template.xltx</t>
  </si>
  <si>
    <t>Fällig (Tage)</t>
  </si>
  <si>
    <t>Standard Steuersatz</t>
  </si>
  <si>
    <t>Firma Strasse</t>
  </si>
  <si>
    <t>Firma PLZ</t>
  </si>
  <si>
    <t>Firma Ort</t>
  </si>
  <si>
    <t>Firma Bank</t>
  </si>
  <si>
    <t>Kreissparkasse Verden</t>
  </si>
  <si>
    <t>Firma IBAN</t>
  </si>
  <si>
    <t>Firma BIC</t>
  </si>
  <si>
    <t>BRLADE21VER</t>
  </si>
  <si>
    <t>Firma UStID</t>
  </si>
  <si>
    <t>DE261520925</t>
  </si>
  <si>
    <t>Firma HR</t>
  </si>
  <si>
    <t>Amtsgericht Bremen HRB 25136 HB</t>
  </si>
  <si>
    <t>Firma Telefon</t>
  </si>
  <si>
    <t>0421 - 221 592 00</t>
  </si>
  <si>
    <t>Firma Email</t>
  </si>
  <si>
    <t>Firma Ansprechpartner</t>
  </si>
  <si>
    <t>Verwaltung</t>
  </si>
  <si>
    <t>Gutschrift-Text</t>
  </si>
  <si>
    <t>Gutschrift zur Nebenabrede</t>
  </si>
  <si>
    <t>Gutschrift-Betrag</t>
  </si>
  <si>
    <t>Gutschrift als BCC an</t>
  </si>
  <si>
    <t>joe@talkserv.de</t>
  </si>
  <si>
    <t>Domain</t>
  </si>
  <si>
    <t>talkserv.de</t>
  </si>
  <si>
    <t>Bestätigung ab n Zeilen</t>
  </si>
  <si>
    <t>Manual</t>
  </si>
  <si>
    <t>Faktura Manual.pdf</t>
  </si>
  <si>
    <t>Index</t>
  </si>
  <si>
    <t>xoptVersion</t>
  </si>
  <si>
    <t>xoptMinRechNr</t>
  </si>
  <si>
    <t>xoptTemplate</t>
  </si>
  <si>
    <t>xoptDefaultDue</t>
  </si>
  <si>
    <t>xoptDefaultTax</t>
  </si>
  <si>
    <t>xoptFirmaName</t>
  </si>
  <si>
    <t>xoptFirmaStrasse</t>
  </si>
  <si>
    <t>xoptFirmaPLZ</t>
  </si>
  <si>
    <t>xoptFirmaOrt</t>
  </si>
  <si>
    <t>xoptFirmaBank</t>
  </si>
  <si>
    <t>xoptFirmaIBAN</t>
  </si>
  <si>
    <t>xoptFirmaBIC</t>
  </si>
  <si>
    <t>xoptFirmaUStID</t>
  </si>
  <si>
    <t>xoptFirmaHR</t>
  </si>
  <si>
    <t>xoptFirmaTelefon</t>
  </si>
  <si>
    <t>xoptFirmaEmail</t>
  </si>
  <si>
    <t>xoptFirmaAsp</t>
  </si>
  <si>
    <t>xoptFirmaDomain</t>
  </si>
  <si>
    <t>xoptGutschriftText</t>
  </si>
  <si>
    <t>xoptGutschriftBetrag</t>
  </si>
  <si>
    <t>xoptGutschriftBCC</t>
  </si>
  <si>
    <t>xoptConfirmThreshold</t>
  </si>
  <si>
    <t>xoptManual</t>
  </si>
  <si>
    <t>Firma Name</t>
  </si>
  <si>
    <t>Benutzer</t>
  </si>
  <si>
    <t>Nachname</t>
  </si>
  <si>
    <t>Vorname</t>
  </si>
  <si>
    <t>Kürzel</t>
  </si>
  <si>
    <t>Titel</t>
  </si>
  <si>
    <t>Telefon</t>
  </si>
  <si>
    <t>Joachim Meyer</t>
  </si>
  <si>
    <t>Meyer</t>
  </si>
  <si>
    <t>Joachim</t>
  </si>
  <si>
    <t>JM</t>
  </si>
  <si>
    <t>Geschäftsführer</t>
  </si>
  <si>
    <t>0170-5740122</t>
  </si>
  <si>
    <t>joachim.meyer@talkserv.de</t>
  </si>
  <si>
    <t>Gürkan Eris</t>
  </si>
  <si>
    <t>Eris</t>
  </si>
  <si>
    <t>Guerkan</t>
  </si>
  <si>
    <t>GE</t>
  </si>
  <si>
    <t>Vertriebsleiter, Prokura</t>
  </si>
  <si>
    <t>guerkan.eris@talkserv.de</t>
  </si>
  <si>
    <t>Gülcan Aycan</t>
  </si>
  <si>
    <t>Aycan</t>
  </si>
  <si>
    <t>Gülcan</t>
  </si>
  <si>
    <t>GA</t>
  </si>
  <si>
    <t>gülcan.aycan@talkserv.de</t>
  </si>
  <si>
    <t>Sevval Zor</t>
  </si>
  <si>
    <t>Zor</t>
  </si>
  <si>
    <t>Sevval</t>
  </si>
  <si>
    <t>SZ</t>
  </si>
  <si>
    <t>sevval.zor@talkserv.de</t>
  </si>
  <si>
    <t>Fatma Timur</t>
  </si>
  <si>
    <t>Timur</t>
  </si>
  <si>
    <t>Fatma</t>
  </si>
  <si>
    <t>FT</t>
  </si>
  <si>
    <t>fatma.timur@talkserv.de</t>
  </si>
  <si>
    <t>Fatma Abtekin</t>
  </si>
  <si>
    <t>Abtekin</t>
  </si>
  <si>
    <t>FA</t>
  </si>
  <si>
    <t>fatma.abtekin@talkserv.de</t>
  </si>
  <si>
    <t>Saadet Herek</t>
  </si>
  <si>
    <t>Herek</t>
  </si>
  <si>
    <t>Saadet</t>
  </si>
  <si>
    <t>SH</t>
  </si>
  <si>
    <t>saadet.herek@talkserv.de</t>
  </si>
  <si>
    <t>Reyhan Demirtas</t>
  </si>
  <si>
    <t>Demirtas</t>
  </si>
  <si>
    <t>Reyhan</t>
  </si>
  <si>
    <t>RD</t>
  </si>
  <si>
    <t>reyhan.demirtas@talkserv.de</t>
  </si>
  <si>
    <t>Theresa Boos</t>
  </si>
  <si>
    <t>Boos</t>
  </si>
  <si>
    <t>Theresa</t>
  </si>
  <si>
    <t>TB</t>
  </si>
  <si>
    <t>theresa.boos@talkserv.de</t>
  </si>
  <si>
    <t>Public</t>
  </si>
  <si>
    <t>Mitarbeiter</t>
  </si>
  <si>
    <t>HR</t>
  </si>
  <si>
    <t>USt-Id</t>
  </si>
  <si>
    <t>Asp</t>
  </si>
  <si>
    <t>Optionen</t>
  </si>
  <si>
    <t>xkd</t>
  </si>
  <si>
    <t>Double</t>
  </si>
  <si>
    <t>Kleinste Debitor-Nummer</t>
  </si>
  <si>
    <t>xoptMinDebitor</t>
  </si>
  <si>
    <t>Hans-Huckebein-Weg 19</t>
  </si>
  <si>
    <t>Teststrasse 42</t>
  </si>
  <si>
    <t>11111</t>
  </si>
  <si>
    <t>Hintertupfingen</t>
  </si>
  <si>
    <t>Rech.-Email</t>
  </si>
  <si>
    <t>artbau GmbH</t>
  </si>
  <si>
    <t>Philipp-Reis-Str. 13</t>
  </si>
  <si>
    <t>63486</t>
  </si>
  <si>
    <t>Bruchköbel</t>
  </si>
  <si>
    <t>MPS Elektrotechnik GmbH</t>
  </si>
  <si>
    <t>In den Tieräckern 13-15</t>
  </si>
  <si>
    <t>89520</t>
  </si>
  <si>
    <t>Heidenheim</t>
  </si>
  <si>
    <t>Kleinste Rechnungs-ID</t>
  </si>
  <si>
    <t>Kleinste Bestell-ID</t>
  </si>
  <si>
    <t>xoptMinBestellId</t>
  </si>
  <si>
    <t>Steuer</t>
  </si>
  <si>
    <t>3.0</t>
  </si>
  <si>
    <t>Gutschrift</t>
  </si>
  <si>
    <t>R26-11697</t>
  </si>
  <si>
    <t>G26-11699</t>
  </si>
  <si>
    <t>Buchhaltung Email</t>
  </si>
  <si>
    <t>annika.behrens@dhpg.de</t>
  </si>
  <si>
    <t>xoptBuHaEmail</t>
  </si>
  <si>
    <t>Frau Behrens</t>
  </si>
  <si>
    <t>Buchhaltung Anrede</t>
  </si>
  <si>
    <t>xoptBuHaAnrede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</si>
</sst>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7" formatCode="#,##0.00\ &quot;€&quot;;\-#,##0.00\ &quot;€&quot;"/>
    <numFmt numFmtId="164" formatCode="#,##0.00\ &quot;€&quot;"/>
  </numFmts>
  <fonts count="14" x14ac:knownFonts="1">
    <font>
      <sz val="11"/>
      <color theme="1"/>
      <name val="Aptos Display"/>
      <family val="2"/>
    </font>
    <font>
      <sz val="11"/>
      <color theme="0"/>
      <name val="Aptos Display"/>
      <family val="2"/>
    </font>
    <font>
      <b/>
      <sz val="16"/>
      <color theme="0"/>
      <name val="Aptos Display"/>
      <family val="2"/>
    </font>
    <font>
      <sz val="11"/>
      <color theme="8"/>
      <name val="Aptos Display"/>
      <family val="2"/>
    </font>
    <font>
      <sz val="10"/>
      <color theme="1"/>
      <name val="Cascadia Mono"/>
      <family val="3"/>
    </font>
    <font>
      <sz val="8"/>
      <name val="Aptos Display"/>
      <family val="2"/>
    </font>
    <font>
      <sz val="11"/>
      <color theme="1"/>
      <name val="Aptos Display"/>
      <family val="2"/>
    </font>
    <font>
      <sz val="20"/>
      <color theme="1"/>
      <name val="Aptos Display"/>
      <family val="2"/>
    </font>
    <font>
      <sz val="20"/>
      <color theme="4" tint="-0.499984740745262"/>
      <name val="Aptos Display"/>
      <family val="2"/>
    </font>
    <font>
      <sz val="11"/>
      <color theme="4" tint="-0.499984740745262"/>
      <name val="Aptos Display"/>
      <family val="2"/>
    </font>
    <font>
      <sz val="20"/>
      <color theme="8" tint="-0.499984740745262"/>
      <name val="Aptos Display"/>
      <family val="2"/>
    </font>
    <font>
      <sz val="20"/>
      <color theme="7" tint="-0.499984740745262"/>
      <name val="Aptos Display"/>
      <family val="2"/>
    </font>
    <font>
      <sz val="11"/>
      <color theme="7" tint="-0.499984740745262"/>
      <name val="Aptos Display"/>
      <family val="2"/>
    </font>
    <font>
      <sz val="20"/>
      <color theme="1" tint="0.249977111117893"/>
      <name val="Aptos Display"/>
      <family val="2"/>
    </font>
  </fonts>
  <fills count="11">
    <fill>
      <patternFill patternType="none"/>
    </fill>
    <fill>
      <patternFill patternType="gray125"/>
    </fill>
    <fill>
      <patternFill patternType="solid">
        <fgColor theme="8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B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tted">
        <color auto="1"/>
      </left>
      <right style="dotted">
        <color theme="8"/>
      </right>
      <top style="dotted">
        <color auto="1"/>
      </top>
      <bottom/>
      <diagonal/>
    </border>
    <border>
      <left style="dotted">
        <color theme="8"/>
      </left>
      <right style="dotted">
        <color auto="1"/>
      </right>
      <top style="dotted">
        <color auto="1"/>
      </top>
      <bottom/>
      <diagonal/>
    </border>
  </borders>
  <cellStyleXfs count="2">
    <xf numFmtId="0" fontId="0" fillId="0" borderId="0"/>
    <xf numFmtId="9" fontId="6" fillId="0" borderId="0" applyFont="0" applyFill="0" applyBorder="0" applyAlignment="0" applyProtection="0"/>
  </cellStyleXfs>
  <cellXfs count="40">
    <xf numFmtId="0" fontId="0" fillId="0" borderId="0" xfId="0"/>
    <xf numFmtId="0" fontId="2" fillId="2" borderId="0" xfId="0" applyFont="1" applyFill="1" applyAlignment="1">
      <alignment horizontal="left" vertical="top"/>
    </xf>
    <xf numFmtId="0" fontId="1" fillId="2" borderId="0" xfId="0" applyFont="1" applyFill="1" applyAlignment="1">
      <alignment horizontal="left" vertical="top"/>
    </xf>
    <xf numFmtId="0" fontId="1" fillId="2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top"/>
    </xf>
    <xf numFmtId="0" fontId="0" fillId="4" borderId="1" xfId="0" applyFill="1" applyBorder="1" applyAlignment="1">
      <alignment horizontal="left" vertical="top"/>
    </xf>
    <xf numFmtId="0" fontId="3" fillId="3" borderId="2" xfId="0" applyFont="1" applyFill="1" applyBorder="1" applyAlignment="1">
      <alignment horizontal="left" vertical="top" wrapText="1"/>
    </xf>
    <xf numFmtId="0" fontId="3" fillId="3" borderId="3" xfId="0" applyFont="1" applyFill="1" applyBorder="1" applyAlignment="1">
      <alignment horizontal="left" vertical="top" wrapText="1"/>
    </xf>
    <xf numFmtId="0" fontId="0" fillId="3" borderId="0" xfId="0" applyFill="1" applyAlignment="1">
      <alignment horizontal="left" vertical="top" wrapText="1"/>
    </xf>
    <xf numFmtId="0" fontId="0" fillId="0" borderId="0" xfId="0" applyAlignment="1">
      <alignment horizontal="left" vertical="top"/>
    </xf>
    <xf numFmtId="0" fontId="4" fillId="4" borderId="0" xfId="0" applyFont="1" applyFill="1" applyAlignment="1">
      <alignment horizontal="left" vertical="top"/>
    </xf>
    <xf numFmtId="0" fontId="4" fillId="3" borderId="0" xfId="0" applyFont="1" applyFill="1"/>
    <xf numFmtId="0" fontId="4" fillId="5" borderId="0" xfId="0" applyFont="1" applyFill="1" applyAlignment="1">
      <alignment horizontal="left" vertical="top"/>
    </xf>
    <xf numFmtId="0" fontId="0" fillId="3" borderId="0" xfId="0" applyFill="1" applyAlignment="1">
      <alignment horizontal="right" vertical="center"/>
    </xf>
    <xf numFmtId="49" fontId="0" fillId="0" borderId="0" xfId="0" applyNumberFormat="1"/>
    <xf numFmtId="14" fontId="0" fillId="0" borderId="0" xfId="0" applyNumberFormat="1" applyAlignment="1">
      <alignment horizontal="left" vertical="top"/>
    </xf>
    <xf numFmtId="49" fontId="0" fillId="0" borderId="0" xfId="0" applyNumberFormat="1" applyAlignment="1">
      <alignment vertical="top"/>
    </xf>
    <xf numFmtId="164" fontId="0" fillId="0" borderId="0" xfId="0" applyNumberFormat="1" applyAlignment="1">
      <alignment vertical="top"/>
    </xf>
    <xf numFmtId="164" fontId="0" fillId="6" borderId="0" xfId="0" applyNumberFormat="1" applyFill="1" applyAlignment="1">
      <alignment vertical="top"/>
    </xf>
    <xf numFmtId="49" fontId="0" fillId="6" borderId="0" xfId="0" applyNumberFormat="1" applyFill="1" applyAlignment="1">
      <alignment vertical="top"/>
    </xf>
    <xf numFmtId="0" fontId="0" fillId="0" borderId="0" xfId="0" applyAlignment="1">
      <alignment vertical="top"/>
    </xf>
    <xf numFmtId="1" fontId="0" fillId="6" borderId="0" xfId="0" applyNumberFormat="1" applyFill="1" applyAlignment="1">
      <alignment horizontal="center" vertical="top"/>
    </xf>
    <xf numFmtId="0" fontId="0" fillId="3" borderId="0" xfId="0" applyFill="1" applyAlignment="1">
      <alignment horizontal="right" vertical="center" wrapText="1"/>
    </xf>
    <xf numFmtId="0" fontId="0" fillId="0" borderId="0" xfId="0" applyAlignment="1">
      <alignment horizontal="left" vertical="top" wrapText="1"/>
    </xf>
    <xf numFmtId="49" fontId="0" fillId="0" borderId="0" xfId="0" applyNumberFormat="1" applyAlignment="1">
      <alignment horizontal="left" vertical="top"/>
    </xf>
    <xf numFmtId="9" fontId="0" fillId="0" borderId="0" xfId="1" applyFont="1" applyAlignment="1">
      <alignment horizontal="left" vertical="top"/>
    </xf>
    <xf numFmtId="164" fontId="0" fillId="0" borderId="0" xfId="0" applyNumberFormat="1" applyAlignment="1">
      <alignment horizontal="left" vertical="top"/>
    </xf>
    <xf numFmtId="0" fontId="8" fillId="7" borderId="0" xfId="0" applyFont="1" applyFill="1" applyAlignment="1">
      <alignment vertical="center"/>
    </xf>
    <xf numFmtId="0" fontId="9" fillId="7" borderId="0" xfId="0" applyFont="1" applyFill="1" applyAlignment="1">
      <alignment vertical="center"/>
    </xf>
    <xf numFmtId="0" fontId="10" fillId="8" borderId="0" xfId="0" applyFont="1" applyFill="1" applyAlignment="1">
      <alignment horizontal="left" vertical="center"/>
    </xf>
    <xf numFmtId="14" fontId="11" fillId="6" borderId="0" xfId="0" applyNumberFormat="1" applyFont="1" applyFill="1" applyAlignment="1">
      <alignment horizontal="left" vertical="center"/>
    </xf>
    <xf numFmtId="0" fontId="12" fillId="6" borderId="0" xfId="0" applyFont="1" applyFill="1" applyAlignment="1">
      <alignment horizontal="left" vertical="center"/>
    </xf>
    <xf numFmtId="7" fontId="12" fillId="6" borderId="0" xfId="0" applyNumberFormat="1" applyFont="1" applyFill="1" applyAlignment="1">
      <alignment horizontal="left" vertical="center"/>
    </xf>
    <xf numFmtId="0" fontId="7" fillId="9" borderId="0" xfId="0" applyFont="1" applyFill="1" applyAlignment="1">
      <alignment horizontal="left" vertical="center"/>
    </xf>
    <xf numFmtId="0" fontId="7" fillId="9" borderId="0" xfId="0" applyFont="1" applyFill="1" applyAlignment="1">
      <alignment vertical="center"/>
    </xf>
    <xf numFmtId="0" fontId="13" fillId="9" borderId="0" xfId="0" applyFont="1" applyFill="1" applyAlignment="1">
      <alignment horizontal="left" vertical="center"/>
    </xf>
    <xf numFmtId="1" fontId="0" fillId="10" borderId="0" xfId="0" applyNumberFormat="1" applyFill="1" applyAlignment="1">
      <alignment horizontal="center"/>
    </xf>
    <xf numFmtId="9" fontId="0" fillId="0" borderId="0" xfId="0" applyNumberFormat="1" applyAlignment="1">
      <alignment horizontal="center" vertical="top"/>
    </xf>
    <xf numFmtId="49" fontId="0" fillId="0" borderId="0" xfId="0" applyNumberFormat="1" applyAlignment="1">
      <alignment horizontal="center" vertical="top"/>
    </xf>
    <xf numFmtId="164" fontId="0" fillId="6" borderId="0" xfId="0" applyNumberFormat="1" applyFill="1" applyAlignment="1">
      <alignment horizontal="center" vertical="top"/>
    </xf>
  </cellXfs>
  <cellStyles count="2">
    <cellStyle name="Prozent" xfId="1" builtinId="5"/>
    <cellStyle name="Standard" xfId="0" builtinId="0"/>
  </cellStyles>
  <dxfs count="58">
    <dxf>
      <font>
        <strike val="0"/>
        <outline val="0"/>
        <shadow val="0"/>
        <u val="none"/>
        <vertAlign val="baseline"/>
        <sz val="10"/>
        <color theme="1"/>
        <name val="Cascadia Mono"/>
        <family val="3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scadia Mono"/>
        <family val="3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scadia Mono"/>
        <family val="3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scadia Mono"/>
        <family val="3"/>
        <scheme val="none"/>
      </font>
      <numFmt numFmtId="0" formatCode="General"/>
      <fill>
        <patternFill patternType="solid">
          <fgColor indexed="64"/>
          <bgColor theme="8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scadia Mono"/>
        <family val="3"/>
        <scheme val="none"/>
      </font>
      <fill>
        <patternFill patternType="solid">
          <fgColor indexed="64"/>
          <bgColor rgb="FFFFFFB9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scadia Mono"/>
        <family val="3"/>
        <scheme val="none"/>
      </font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alignment horizontal="left" vertical="top" textRotation="0" wrapText="1" indent="0" justifyLastLine="0" shrinkToFit="0" readingOrder="0"/>
    </dxf>
    <dxf>
      <numFmt numFmtId="30" formatCode="@"/>
    </dxf>
    <dxf>
      <numFmt numFmtId="30" formatCode="@"/>
    </dxf>
    <dxf>
      <numFmt numFmtId="1" formatCode="0"/>
      <fill>
        <patternFill patternType="solid">
          <fgColor indexed="64"/>
          <bgColor theme="4" tint="0.79998168889431442"/>
        </patternFill>
      </fill>
      <alignment horizontal="center" vertical="bottom" textRotation="0" wrapText="0" indent="0" justifyLastLine="0" shrinkToFit="0" readingOrder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FF0000"/>
        </patternFill>
      </fill>
    </dxf>
    <dxf>
      <numFmt numFmtId="1" formatCode="0"/>
      <fill>
        <patternFill patternType="solid">
          <fgColor indexed="64"/>
          <bgColor theme="7" tint="0.59999389629810485"/>
        </patternFill>
      </fill>
      <alignment horizontal="center" vertical="top" textRotation="0" wrapText="0" indent="0" justifyLastLine="0" shrinkToFit="0" readingOrder="0"/>
    </dxf>
    <dxf>
      <numFmt numFmtId="1" formatCode="0"/>
      <fill>
        <patternFill patternType="solid">
          <fgColor indexed="64"/>
          <bgColor theme="7" tint="0.59999389629810485"/>
        </patternFill>
      </fill>
      <alignment horizontal="center" vertical="top" textRotation="0" wrapText="0" indent="0" justifyLastLine="0" shrinkToFit="0" readingOrder="0"/>
    </dxf>
    <dxf>
      <numFmt numFmtId="30" formatCode="@"/>
      <fill>
        <patternFill patternType="solid">
          <fgColor indexed="64"/>
          <bgColor theme="7" tint="0.59999389629810485"/>
        </patternFill>
      </fill>
      <alignment vertical="top" textRotation="0" wrapText="0" indent="0" justifyLastLine="0" shrinkToFit="0" readingOrder="0"/>
    </dxf>
    <dxf>
      <numFmt numFmtId="164" formatCode="#,##0.00\ &quot;€&quot;"/>
      <fill>
        <patternFill patternType="solid">
          <fgColor indexed="64"/>
          <bgColor theme="7" tint="0.59999389629810485"/>
        </patternFill>
      </fill>
      <alignment horizontal="center" vertical="top" textRotation="0" wrapText="0" indent="0" justifyLastLine="0" shrinkToFit="0" readingOrder="0"/>
    </dxf>
    <dxf>
      <numFmt numFmtId="164" formatCode="#,##0.00\ &quot;€&quot;"/>
      <fill>
        <patternFill patternType="solid">
          <fgColor indexed="64"/>
          <bgColor theme="7" tint="0.59999389629810485"/>
        </patternFill>
      </fill>
      <alignment vertical="top" textRotation="0" wrapText="0" indent="0" justifyLastLine="0" shrinkToFit="0" readingOrder="0"/>
    </dxf>
    <dxf>
      <numFmt numFmtId="164" formatCode="#,##0.00\ &quot;€&quot;"/>
      <fill>
        <patternFill patternType="solid">
          <fgColor indexed="64"/>
          <bgColor theme="7" tint="0.59999389629810485"/>
        </patternFill>
      </fill>
      <alignment vertical="top" textRotation="0" wrapText="0" indent="0" justifyLastLine="0" shrinkToFit="0" readingOrder="0"/>
    </dxf>
    <dxf>
      <numFmt numFmtId="13" formatCode="0%"/>
      <alignment horizontal="center" vertical="top" textRotation="0" wrapText="0" indent="0" justifyLastLine="0" shrinkToFit="0" readingOrder="0"/>
    </dxf>
    <dxf>
      <numFmt numFmtId="164" formatCode="#,##0.00\ &quot;€&quot;"/>
      <alignment vertical="top" textRotation="0" wrapText="0" indent="0" justifyLastLine="0" shrinkToFit="0" readingOrder="0"/>
    </dxf>
    <dxf>
      <numFmt numFmtId="30" formatCode="@"/>
      <alignment horizontal="center" vertical="top" textRotation="0" wrapText="0" indent="0" justifyLastLine="0" shrinkToFit="0" readingOrder="0"/>
    </dxf>
    <dxf>
      <numFmt numFmtId="30" formatCode="@"/>
      <alignment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vertical="top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vertical="top" textRotation="0" wrapText="0" indent="0" justifyLastLine="0" shrinkToFit="0" readingOrder="0"/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fgColor auto="1"/>
          <bgColor theme="6" tint="0.79998168889431442"/>
        </patternFill>
      </fill>
    </dxf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FFB9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4.svg"/><Relationship Id="rId1" Type="http://schemas.openxmlformats.org/officeDocument/2006/relationships/image" Target="../media/image13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600075</xdr:colOff>
      <xdr:row>0</xdr:row>
      <xdr:rowOff>176211</xdr:rowOff>
    </xdr:from>
    <xdr:to>
      <xdr:col>1</xdr:col>
      <xdr:colOff>1524000</xdr:colOff>
      <xdr:row>0</xdr:row>
      <xdr:rowOff>500211</xdr:rowOff>
    </xdr:to>
    <xdr:grpSp>
      <xdr:nvGrpSpPr>
        <xdr:cNvPr id="5" name="Gruppieren 4">
          <a:extLst>
            <a:ext uri="{FF2B5EF4-FFF2-40B4-BE49-F238E27FC236}">
              <a16:creationId xmlns:a16="http://schemas.microsoft.com/office/drawing/2014/main" id="{113D584A-BFBE-E98D-A4F8-29CEDAEB710D}"/>
            </a:ext>
          </a:extLst>
        </xdr:cNvPr>
        <xdr:cNvGrpSpPr/>
      </xdr:nvGrpSpPr>
      <xdr:grpSpPr>
        <a:xfrm>
          <a:off x="1438275" y="176211"/>
          <a:ext cx="923925" cy="324000"/>
          <a:chOff x="2466975" y="190499"/>
          <a:chExt cx="923925" cy="324000"/>
        </a:xfrm>
      </xdr:grpSpPr>
      <xdr:sp macro="[0]!MAKRO_Beleg_Öffnen" textlink="">
        <xdr:nvSpPr>
          <xdr:cNvPr id="2" name="Rechteck: abgerundete Ecken 1">
            <a:extLst>
              <a:ext uri="{FF2B5EF4-FFF2-40B4-BE49-F238E27FC236}">
                <a16:creationId xmlns:a16="http://schemas.microsoft.com/office/drawing/2014/main" id="{16FE2721-B715-E704-6F23-6B817E04AA3C}"/>
              </a:ext>
            </a:extLst>
          </xdr:cNvPr>
          <xdr:cNvSpPr/>
        </xdr:nvSpPr>
        <xdr:spPr>
          <a:xfrm>
            <a:off x="2466975" y="190499"/>
            <a:ext cx="923925" cy="324000"/>
          </a:xfrm>
          <a:prstGeom prst="roundRect">
            <a:avLst/>
          </a:prstGeom>
          <a:gradFill flip="none" rotWithShape="1">
            <a:gsLst>
              <a:gs pos="0">
                <a:schemeClr val="accent4">
                  <a:lumMod val="67000"/>
                </a:schemeClr>
              </a:gs>
              <a:gs pos="48000">
                <a:schemeClr val="accent4">
                  <a:lumMod val="97000"/>
                  <a:lumOff val="3000"/>
                </a:schemeClr>
              </a:gs>
              <a:gs pos="100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de-DE" sz="1100" b="1"/>
              <a:t>Öffnen</a:t>
            </a:r>
          </a:p>
        </xdr:txBody>
      </xdr:sp>
      <xdr:pic>
        <xdr:nvPicPr>
          <xdr:cNvPr id="4" name="Grafik 3" descr="Ordnersuche mit einfarbiger Füllung">
            <a:extLst>
              <a:ext uri="{FF2B5EF4-FFF2-40B4-BE49-F238E27FC236}">
                <a16:creationId xmlns:a16="http://schemas.microsoft.com/office/drawing/2014/main" id="{B465BBA9-7DDA-1727-7A94-14B14A9269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562225" y="228600"/>
            <a:ext cx="252000" cy="252000"/>
          </a:xfrm>
          <a:prstGeom prst="rect">
            <a:avLst/>
          </a:prstGeom>
        </xdr:spPr>
      </xdr:pic>
    </xdr:grpSp>
    <xdr:clientData fPrintsWithSheet="0"/>
  </xdr:twoCellAnchor>
  <xdr:twoCellAnchor editAs="absolute">
    <xdr:from>
      <xdr:col>2</xdr:col>
      <xdr:colOff>95962</xdr:colOff>
      <xdr:row>0</xdr:row>
      <xdr:rowOff>176211</xdr:rowOff>
    </xdr:from>
    <xdr:to>
      <xdr:col>3</xdr:col>
      <xdr:colOff>181687</xdr:colOff>
      <xdr:row>0</xdr:row>
      <xdr:rowOff>500211</xdr:rowOff>
    </xdr:to>
    <xdr:grpSp>
      <xdr:nvGrpSpPr>
        <xdr:cNvPr id="6" name="Gruppieren 5">
          <a:extLst>
            <a:ext uri="{FF2B5EF4-FFF2-40B4-BE49-F238E27FC236}">
              <a16:creationId xmlns:a16="http://schemas.microsoft.com/office/drawing/2014/main" id="{39155135-F7FA-6928-3A46-624268319B4B}"/>
            </a:ext>
          </a:extLst>
        </xdr:cNvPr>
        <xdr:cNvGrpSpPr/>
      </xdr:nvGrpSpPr>
      <xdr:grpSpPr>
        <a:xfrm>
          <a:off x="2591512" y="176211"/>
          <a:ext cx="923925" cy="324000"/>
          <a:chOff x="2466975" y="190499"/>
          <a:chExt cx="923925" cy="324000"/>
        </a:xfrm>
      </xdr:grpSpPr>
      <xdr:sp macro="[0]!MAKRO_Beleg_Email" textlink="">
        <xdr:nvSpPr>
          <xdr:cNvPr id="7" name="Rechteck: abgerundete Ecken 6">
            <a:extLst>
              <a:ext uri="{FF2B5EF4-FFF2-40B4-BE49-F238E27FC236}">
                <a16:creationId xmlns:a16="http://schemas.microsoft.com/office/drawing/2014/main" id="{C43DF3D9-7D6D-B592-3833-BB0676EA1C74}"/>
              </a:ext>
            </a:extLst>
          </xdr:cNvPr>
          <xdr:cNvSpPr/>
        </xdr:nvSpPr>
        <xdr:spPr>
          <a:xfrm>
            <a:off x="2466975" y="190499"/>
            <a:ext cx="923925" cy="324000"/>
          </a:xfrm>
          <a:prstGeom prst="roundRect">
            <a:avLst/>
          </a:prstGeom>
          <a:gradFill flip="none" rotWithShape="1">
            <a:gsLst>
              <a:gs pos="0">
                <a:schemeClr val="accent4">
                  <a:lumMod val="67000"/>
                </a:schemeClr>
              </a:gs>
              <a:gs pos="48000">
                <a:schemeClr val="accent4">
                  <a:lumMod val="97000"/>
                  <a:lumOff val="3000"/>
                </a:schemeClr>
              </a:gs>
              <a:gs pos="100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de-DE" sz="1100" b="1"/>
              <a:t>E-Mail</a:t>
            </a:r>
          </a:p>
        </xdr:txBody>
      </xdr:sp>
      <xdr:pic>
        <xdr:nvPicPr>
          <xdr:cNvPr id="8" name="Grafik 7" descr="E-Mail mit einfarbiger Füllung">
            <a:extLst>
              <a:ext uri="{FF2B5EF4-FFF2-40B4-BE49-F238E27FC236}">
                <a16:creationId xmlns:a16="http://schemas.microsoft.com/office/drawing/2014/main" id="{0348A586-5616-4480-F209-9E9C5F16A89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562225" y="228600"/>
            <a:ext cx="252000" cy="252000"/>
          </a:xfrm>
          <a:prstGeom prst="rect">
            <a:avLst/>
          </a:prstGeom>
        </xdr:spPr>
      </xdr:pic>
    </xdr:grpSp>
    <xdr:clientData fPrintsWithSheet="0"/>
  </xdr:twoCellAnchor>
  <xdr:twoCellAnchor editAs="oneCell">
    <xdr:from>
      <xdr:col>10</xdr:col>
      <xdr:colOff>38100</xdr:colOff>
      <xdr:row>0</xdr:row>
      <xdr:rowOff>161925</xdr:rowOff>
    </xdr:from>
    <xdr:to>
      <xdr:col>10</xdr:col>
      <xdr:colOff>398100</xdr:colOff>
      <xdr:row>0</xdr:row>
      <xdr:rowOff>521925</xdr:rowOff>
    </xdr:to>
    <xdr:pic macro="[0]!MAKRO_Admin_Menu">
      <xdr:nvPicPr>
        <xdr:cNvPr id="24" name="Grafik 23" descr="Symbol für Hamburger-Menü mit einfarbiger Füllung">
          <a:extLst>
            <a:ext uri="{FF2B5EF4-FFF2-40B4-BE49-F238E27FC236}">
              <a16:creationId xmlns:a16="http://schemas.microsoft.com/office/drawing/2014/main" id="{794AE108-2568-5E25-1825-844C34CD0A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210675" y="161925"/>
          <a:ext cx="360000" cy="360000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38100</xdr:colOff>
      <xdr:row>1</xdr:row>
      <xdr:rowOff>190500</xdr:rowOff>
    </xdr:from>
    <xdr:to>
      <xdr:col>2</xdr:col>
      <xdr:colOff>326100</xdr:colOff>
      <xdr:row>1</xdr:row>
      <xdr:rowOff>478500</xdr:rowOff>
    </xdr:to>
    <xdr:pic macro="[0]!MAKRO_Beleg_Synchronisieren">
      <xdr:nvPicPr>
        <xdr:cNvPr id="26" name="Grafik 25" descr="Aktualisieren mit einfarbiger Füllung">
          <a:extLst>
            <a:ext uri="{FF2B5EF4-FFF2-40B4-BE49-F238E27FC236}">
              <a16:creationId xmlns:a16="http://schemas.microsoft.com/office/drawing/2014/main" id="{6C4AE0F2-50BC-2CCD-D671-B1A3290548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rcRect/>
        <a:stretch/>
      </xdr:blipFill>
      <xdr:spPr>
        <a:xfrm>
          <a:off x="2533650" y="800100"/>
          <a:ext cx="288000" cy="288000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304800</xdr:colOff>
      <xdr:row>1</xdr:row>
      <xdr:rowOff>133350</xdr:rowOff>
    </xdr:from>
    <xdr:to>
      <xdr:col>2</xdr:col>
      <xdr:colOff>700800</xdr:colOff>
      <xdr:row>1</xdr:row>
      <xdr:rowOff>529350</xdr:rowOff>
    </xdr:to>
    <xdr:pic macro="[0]!MAKRO_Beleg_Check">
      <xdr:nvPicPr>
        <xdr:cNvPr id="28" name="Grafik 27" descr="Kontrollkästchen aktiviert mit einfarbiger Füllung">
          <a:extLst>
            <a:ext uri="{FF2B5EF4-FFF2-40B4-BE49-F238E27FC236}">
              <a16:creationId xmlns:a16="http://schemas.microsoft.com/office/drawing/2014/main" id="{B063BBB3-A543-CF59-882F-BA0A228598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96DAC541-7B7A-43D3-8B79-37D633B846F1}">
              <asvg:svgBlip xmlns:asvg="http://schemas.microsoft.com/office/drawing/2016/SVG/main" r:embed="rId10"/>
            </a:ext>
          </a:extLst>
        </a:blip>
        <a:srcRect/>
        <a:stretch/>
      </xdr:blipFill>
      <xdr:spPr>
        <a:xfrm>
          <a:off x="2800350" y="742950"/>
          <a:ext cx="396000" cy="396000"/>
        </a:xfrm>
        <a:prstGeom prst="rect">
          <a:avLst/>
        </a:prstGeom>
      </xdr:spPr>
    </xdr:pic>
    <xdr:clientData fPrintsWithSheet="0"/>
  </xdr:twoCellAnchor>
  <xdr:twoCellAnchor editAs="oneCell">
    <xdr:from>
      <xdr:col>1</xdr:col>
      <xdr:colOff>123825</xdr:colOff>
      <xdr:row>1</xdr:row>
      <xdr:rowOff>190500</xdr:rowOff>
    </xdr:from>
    <xdr:to>
      <xdr:col>1</xdr:col>
      <xdr:colOff>447825</xdr:colOff>
      <xdr:row>1</xdr:row>
      <xdr:rowOff>514500</xdr:rowOff>
    </xdr:to>
    <xdr:pic macro="[0]!MAKRO_Beleg_GotoKunde">
      <xdr:nvPicPr>
        <xdr:cNvPr id="9" name="Grafik 8" descr="Zurück mit einfarbiger Füllung">
          <a:extLst>
            <a:ext uri="{FF2B5EF4-FFF2-40B4-BE49-F238E27FC236}">
              <a16:creationId xmlns:a16="http://schemas.microsoft.com/office/drawing/2014/main" id="{A8822D21-CB3E-333C-12BB-61516C0B43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962025" y="800100"/>
          <a:ext cx="324000" cy="324000"/>
        </a:xfrm>
        <a:prstGeom prst="rect">
          <a:avLst/>
        </a:prstGeom>
      </xdr:spPr>
    </xdr:pic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171450</xdr:colOff>
      <xdr:row>1</xdr:row>
      <xdr:rowOff>266700</xdr:rowOff>
    </xdr:from>
    <xdr:to>
      <xdr:col>11</xdr:col>
      <xdr:colOff>495450</xdr:colOff>
      <xdr:row>1</xdr:row>
      <xdr:rowOff>590700</xdr:rowOff>
    </xdr:to>
    <xdr:pic macro="[0]!MAKRO_Kunden_DebitorNr">
      <xdr:nvPicPr>
        <xdr:cNvPr id="3" name="Grafik 2" descr="Pfeil: 180-Grad, vertikal mit einfarbiger Füllung">
          <a:extLst>
            <a:ext uri="{FF2B5EF4-FFF2-40B4-BE49-F238E27FC236}">
              <a16:creationId xmlns:a16="http://schemas.microsoft.com/office/drawing/2014/main" id="{C2307804-DB25-0F9A-25A7-8BC47EAB12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6640175" y="876300"/>
          <a:ext cx="324000" cy="324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1733550</xdr:colOff>
      <xdr:row>0</xdr:row>
      <xdr:rowOff>28575</xdr:rowOff>
    </xdr:from>
    <xdr:to>
      <xdr:col>2</xdr:col>
      <xdr:colOff>409575</xdr:colOff>
      <xdr:row>0</xdr:row>
      <xdr:rowOff>485775</xdr:rowOff>
    </xdr:to>
    <xdr:pic>
      <xdr:nvPicPr>
        <xdr:cNvPr id="2" name="btnShowOneDrivePath" descr="Ordnersuche mit einfarbiger Füllung">
          <a:extLst>
            <a:ext uri="{FF2B5EF4-FFF2-40B4-BE49-F238E27FC236}">
              <a16:creationId xmlns:a16="http://schemas.microsoft.com/office/drawing/2014/main" id="{7970CF16-B317-41E1-B8D3-9675EFB6DD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848100" y="28575"/>
          <a:ext cx="409575" cy="457200"/>
        </a:xfrm>
        <a:prstGeom prst="rect">
          <a:avLst/>
        </a:prstGeom>
      </xdr:spPr>
    </xdr:pic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7A48584-FB12-4ED5-BB8A-752F29227A4A}" name="tblBelege" displayName="tblBelege" ref="A2:K8" totalsRowShown="0" headerRowDxfId="53" dataDxfId="52">
  <autoFilter ref="A2:K8" xr:uid="{37A48584-FB12-4ED5-BB8A-752F29227A4A}"/>
  <tableColumns count="11">
    <tableColumn id="1" xr3:uid="{F79C03E4-4338-460B-91E2-87F617A3A363}" name="Datum" dataDxfId="51"/>
    <tableColumn id="2" xr3:uid="{57AC6627-CEBE-4F21-B53F-4DFEEBF96E62}" name="Kunde" dataDxfId="50"/>
    <tableColumn id="3" xr3:uid="{FA7C0A07-B0CA-409E-A934-0D0C04EBECCD}" name="Beleg-Art" dataDxfId="49"/>
    <tableColumn id="4" xr3:uid="{589FBFEE-2F18-4B69-AFCF-0ECF09709E72}" name="Netto" dataDxfId="48"/>
    <tableColumn id="5" xr3:uid="{B888F12E-D822-4336-8E55-9725680A1F86}" name="Steuer" dataDxfId="47"/>
    <tableColumn id="6" xr3:uid="{B1BE896B-D398-417D-A725-0BA231DB7DE6}" name="Brutto" dataDxfId="46">
      <calculatedColumnFormula>tblBelege[[#This Row],[Netto]]*(1+tblBelege[[#This Row],[Steuer]])</calculatedColumnFormula>
    </tableColumn>
    <tableColumn id="8" xr3:uid="{71CF3787-8FE1-4E4D-B206-98A797912F83}" name="Beleg-Nr." dataDxfId="45">
      <calculatedColumnFormula>LEFT(tblBelege[[#This Row],[Beleg-Art]], 1) &amp; TEXT(tblBelege[[#This Row],[Datum]], "JJ") &amp; "-" &amp; tblBelege[[#This Row],[Beleg-ID]]</calculatedColumnFormula>
    </tableColumn>
    <tableColumn id="11" xr3:uid="{181113AB-C9E9-418B-A919-D83849C8AE35}" name="Mitarbeiter" dataDxfId="44"/>
    <tableColumn id="7" xr3:uid="{4D9788AC-90EB-49DB-BE18-9E0780BD3406}" name="Referenz" dataDxfId="43"/>
    <tableColumn id="10" xr3:uid="{E87E35C4-D961-405B-A0C0-85C376EB3AC8}" name="Beleg-ID" dataDxfId="42"/>
    <tableColumn id="9" xr3:uid="{FC9DF07A-1341-4548-99CE-89A97F1BB57F}" name="Debitor" dataDxfId="41">
      <calculatedColumnFormula>_xlfn.XLOOKUP(tblBelege[[#This Row],[Kunde]], tblKunden[Name], tblKunden[Debitor], 0)</calculatedColumnFormula>
    </tableColumn>
  </tableColumns>
  <tableStyleInfo name="TableStyleLight12" showFirstColumn="0" showLastColumn="0" showRowStripes="1" showColumnStripes="1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7FFFEA3-25C0-4DF4-A7A8-92FDB587B86E}" name="tblKunden" displayName="tblKunden" ref="A2:N7" totalsRowShown="0" headerRowDxfId="38">
  <autoFilter ref="A2:N7" xr:uid="{67FFFEA3-25C0-4DF4-A7A8-92FDB587B86E}"/>
  <sortState xmlns:xlrd2="http://schemas.microsoft.com/office/spreadsheetml/2017/richdata2" ref="A3:N6">
    <sortCondition ref="A2:A6"/>
  </sortState>
  <tableColumns count="14">
    <tableColumn id="1" xr3:uid="{DB633AE9-A566-4CAC-9E9C-2930DF27FA7F}" name="Name" dataDxfId="37"/>
    <tableColumn id="2" xr3:uid="{09E3FF44-BF1A-4DE3-B2C6-F50C58DD0E92}" name="Strasse" dataDxfId="36"/>
    <tableColumn id="3" xr3:uid="{4BAE4571-479A-46D3-A417-85F8551C0F91}" name="PLZ" dataDxfId="35"/>
    <tableColumn id="4" xr3:uid="{D2077C31-A2CF-407B-ABAB-CA7BFCE187A1}" name="Ort" dataDxfId="34"/>
    <tableColumn id="12" xr3:uid="{B1019A8E-0BC9-497C-BC57-FE34B9CD41A4}" name="Asp" dataDxfId="33"/>
    <tableColumn id="13" xr3:uid="{21A46CDB-4753-4D60-AA70-86AA97AADFDE}" name="Telefon" dataDxfId="32"/>
    <tableColumn id="18" xr3:uid="{D0E87F5E-1B94-4B57-AA39-EB86201542C6}" name="Email" dataDxfId="31"/>
    <tableColumn id="6" xr3:uid="{485B592F-C8BA-405E-9399-161668E4B630}" name="Rech.-Email" dataDxfId="30"/>
    <tableColumn id="7" xr3:uid="{FF15782B-4E5F-452C-8D3B-71E98CCFE37A}" name="Bank"/>
    <tableColumn id="8" xr3:uid="{940515E7-50E0-48CE-9B2A-0A7336E7A7C5}" name="IBAN" dataDxfId="29"/>
    <tableColumn id="9" xr3:uid="{B7F5A51C-B138-41B0-9A20-B89C82E17453}" name="BIC" dataDxfId="28"/>
    <tableColumn id="5" xr3:uid="{1478FA4A-CB46-458B-BF7D-4DE811EA8082}" name="Debitor" dataDxfId="27"/>
    <tableColumn id="10" xr3:uid="{2E674BDF-065C-45C5-831B-58DF0D339D39}" name="HR" dataDxfId="26"/>
    <tableColumn id="11" xr3:uid="{255C1610-8D8C-436C-835C-E6D3518EDB8E}" name="USt-Id" dataDxfId="25"/>
  </tableColumns>
  <tableStyleInfo name="TableStyleLight9" showFirstColumn="0" showLastColumn="0" showRowStripes="1" showColumnStripes="1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D9BFB59-0B19-4B61-B846-77FFCFDF3160}" name="tblSettings" displayName="tblSettings" ref="A2:C29" headerRowDxfId="24" dataDxfId="23">
  <autoFilter ref="A2:C29" xr:uid="{AD9BFB59-0B19-4B61-B846-77FFCFDF3160}"/>
  <tableColumns count="3">
    <tableColumn id="1" xr3:uid="{322C896A-56D7-4E1B-B7B9-1A4F1A6CC4AA}" name="Einstellung" totalsRowLabel="Ergebnis" dataDxfId="22" totalsRowDxfId="21"/>
    <tableColumn id="3" xr3:uid="{F582F26F-2337-4C57-AA75-8C272DF78E41}" name="Index" dataDxfId="20" totalsRowDxfId="19"/>
    <tableColumn id="2" xr3:uid="{99560840-B9B6-4223-84D8-DD858B1A1B95}" name="Wert" totalsRowFunction="count" dataDxfId="18" totalsRowDxfId="17"/>
  </tableColumns>
  <tableStyleInfo name="TableStyleLight8" showFirstColumn="0" showLastColumn="0" showRowStripes="1" showColumnStripes="1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B6F60F7-1DE9-4F39-B0DB-DF251B9C4AD4}" name="Tabelle5" displayName="Tabelle5" ref="A2:G11" totalsRowShown="0" headerRowDxfId="16" dataDxfId="15">
  <autoFilter ref="A2:G11" xr:uid="{7B6F60F7-1DE9-4F39-B0DB-DF251B9C4AD4}"/>
  <tableColumns count="7">
    <tableColumn id="1" xr3:uid="{3E017AFA-3B19-4E9B-B909-3CD84A638D05}" name="Benutzer" dataDxfId="14"/>
    <tableColumn id="2" xr3:uid="{13B71626-8390-4908-8F55-C30C97A5D7A0}" name="Nachname" dataDxfId="13"/>
    <tableColumn id="3" xr3:uid="{307CD8A7-1624-4ACC-A34E-5B0C307DBD1D}" name="Vorname" dataDxfId="12"/>
    <tableColumn id="4" xr3:uid="{3AEEF3DC-EEDF-4F9C-A846-30BB2278D49C}" name="Kürzel" dataDxfId="11"/>
    <tableColumn id="5" xr3:uid="{B2CEA15A-D6D2-4670-A08A-09184660198F}" name="Titel" dataDxfId="10"/>
    <tableColumn id="6" xr3:uid="{58986A6E-037A-40BB-B043-D3E7BB82540F}" name="Telefon" dataDxfId="9"/>
    <tableColumn id="7" xr3:uid="{BBBB85B2-EF25-4C55-88C2-7688DE3CA8E0}" name="Email" dataDxfId="8"/>
  </tableColumns>
  <tableStyleInfo name="TableStyleLight1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287DC98-91DB-4B5B-9662-101E36AE0365}" name="tblDeveloper" displayName="tblDeveloper" ref="A6:F19" totalsRowShown="0" headerRowDxfId="7" dataDxfId="6">
  <autoFilter ref="A6:F19" xr:uid="{5287DC98-91DB-4B5B-9662-101E36AE0365}"/>
  <tableColumns count="6">
    <tableColumn id="1" xr3:uid="{73BECCB9-9804-4050-8D77-659358068B01}" name="Headers" dataDxfId="5"/>
    <tableColumn id="7" xr3:uid="{80408916-F93F-46AE-80F7-6102855F33CB}" name="Type" dataDxfId="4"/>
    <tableColumn id="2" xr3:uid="{51289DEA-B594-4F35-888C-DBFB1CF76D41}" name="VBA" dataDxfId="3">
      <calculatedColumnFormula>_xlfn.REGEXREPLACE(tblDeveloper[[#This Row],[Headers]], "\W", "")</calculatedColumnFormula>
    </tableColumn>
    <tableColumn id="3" xr3:uid="{E476B591-6AEB-41D5-A1ED-C9CA512725BC}" name="Enum" dataDxfId="2">
      <calculatedColumnFormula>EnumPrefix &amp; tblDeveloper[[#This Row],[VBA]] &amp; IF(ROW() = 7, " = 1", "")</calculatedColumnFormula>
    </tableColumn>
    <tableColumn id="6" xr3:uid="{69E079C1-9EEC-4C09-9C08-739ED200F1E3}" name="Variable Declaration" dataDxfId="1">
      <calculatedColumnFormula xml:space="preserve"> IF(ISBLANK(VariablePrefix), "", VariablePrefix &amp; " ") &amp; tblDeveloper[[#This Row],[VBA]] &amp; " As " &amp; IF(ISBLANK(tblDeveloper[[#This Row],[Type]]), "String", tblDeveloper[[#This Row],[Type]])</calculatedColumnFormula>
    </tableColumn>
    <tableColumn id="4" xr3:uid="{ED542988-EAE4-4CEA-976E-4D007EC8B88F}" name="Assignment" dataDxfId="0">
      <calculatedColumnFormula>tblDeveloper[[#This Row],[VBA]] &amp; " = " &amp; "values(1, " &amp; EnumPrefix &amp; tblDeveloper[[#This Row],[VBA]] &amp; ")"</calculatedColumnFormula>
    </tableColumn>
  </tableColumns>
  <tableStyleInfo name="TableStyleLight13" showFirstColumn="0" showLastColumn="0" showRowStripes="1" showColumnStripes="1"/>
</table>
</file>

<file path=xl/theme/theme1.xml><?xml version="1.0" encoding="utf-8"?>
<a:theme xmlns:a="http://schemas.openxmlformats.org/drawingml/2006/main" name="Office">
  <a:themeElements>
    <a:clrScheme name="Ganymed">
      <a:dk1>
        <a:sysClr val="windowText" lastClr="000000"/>
      </a:dk1>
      <a:lt1>
        <a:sysClr val="window" lastClr="FFFFFF"/>
      </a:lt1>
      <a:dk2>
        <a:srgbClr val="323232"/>
      </a:dk2>
      <a:lt2>
        <a:srgbClr val="E3DED1"/>
      </a:lt2>
      <a:accent1>
        <a:srgbClr val="F07F09"/>
      </a:accent1>
      <a:accent2>
        <a:srgbClr val="9F2936"/>
      </a:accent2>
      <a:accent3>
        <a:srgbClr val="1B587C"/>
      </a:accent3>
      <a:accent4>
        <a:srgbClr val="4E8542"/>
      </a:accent4>
      <a:accent5>
        <a:srgbClr val="604878"/>
      </a:accent5>
      <a:accent6>
        <a:srgbClr val="C19859"/>
      </a:accent6>
      <a:hlink>
        <a:srgbClr val="6B9F25"/>
      </a:hlink>
      <a:folHlink>
        <a:srgbClr val="B26B02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F60890-4213-450C-924B-7EB89E734EDE}">
  <sheetPr codeName="shBelege">
    <pageSetUpPr fitToPage="1"/>
  </sheetPr>
  <dimension ref="A1:K8"/>
  <sheetViews>
    <sheetView showGridLines="0" tabSelected="1" zoomScaleNormal="100" workbookViewId="0">
      <pane ySplit="2" topLeftCell="A3" activePane="bottomLeft" state="frozen"/>
      <selection pane="bottomLeft" activeCell="B4" sqref="B4:B5"/>
    </sheetView>
  </sheetViews>
  <sheetFormatPr baseColWidth="10" defaultRowHeight="15" x14ac:dyDescent="0.25"/>
  <cols>
    <col min="1" max="1" width="11" style="20"/>
    <col min="2" max="2" width="21.75" style="20" customWidth="1"/>
    <col min="3" max="3" width="11" style="20"/>
    <col min="4" max="4" width="11.75" style="20" customWidth="1"/>
    <col min="5" max="5" width="8.25" style="20" bestFit="1" customWidth="1"/>
    <col min="6" max="7" width="12" style="20" customWidth="1"/>
    <col min="8" max="8" width="10.875" style="20" customWidth="1"/>
    <col min="9" max="9" width="11" style="20"/>
    <col min="10" max="10" width="9.75" style="20" bestFit="1" customWidth="1"/>
    <col min="11" max="11" width="8.875" style="20" bestFit="1" customWidth="1"/>
    <col min="12" max="16384" width="11" style="20"/>
  </cols>
  <sheetData>
    <row r="1" spans="1:11" s="31" customFormat="1" ht="48" customHeight="1" x14ac:dyDescent="0.25">
      <c r="A1" s="30" t="s">
        <v>27</v>
      </c>
      <c r="D1" s="32"/>
    </row>
    <row r="2" spans="1:11" ht="48" customHeight="1" x14ac:dyDescent="0.25">
      <c r="A2" s="20" t="s">
        <v>17</v>
      </c>
      <c r="B2" s="20" t="s">
        <v>18</v>
      </c>
      <c r="C2" s="20" t="s">
        <v>26</v>
      </c>
      <c r="D2" s="20" t="s">
        <v>19</v>
      </c>
      <c r="E2" s="20" t="s">
        <v>179</v>
      </c>
      <c r="F2" s="20" t="s">
        <v>20</v>
      </c>
      <c r="G2" s="20" t="s">
        <v>25</v>
      </c>
      <c r="H2" s="20" t="s">
        <v>154</v>
      </c>
      <c r="I2" s="20" t="s">
        <v>21</v>
      </c>
      <c r="J2" s="20" t="s">
        <v>39</v>
      </c>
      <c r="K2" s="20" t="s">
        <v>28</v>
      </c>
    </row>
    <row r="3" spans="1:11" x14ac:dyDescent="0.25">
      <c r="A3" s="15">
        <v>46113</v>
      </c>
      <c r="B3" s="16" t="s">
        <v>168</v>
      </c>
      <c r="C3" s="38" t="s">
        <v>24</v>
      </c>
      <c r="D3" s="17">
        <v>1066.76</v>
      </c>
      <c r="E3" s="37">
        <v>0.19</v>
      </c>
      <c r="F3" s="18">
        <f>tblBelege[[#This Row],[Netto]]*(1+tblBelege[[#This Row],[Steuer]])</f>
        <v>1269.4443999999999</v>
      </c>
      <c r="G3" s="18" t="str">
        <f>LEFT(tblBelege[[#This Row],[Beleg-Art]], 1) &amp; TEXT(tblBelege[[#This Row],[Datum]], "JJ") &amp; "-" &amp; tblBelege[[#This Row],[Beleg-ID]]</f>
        <v>R26-11695</v>
      </c>
      <c r="H3" s="39" t="s">
        <v>136</v>
      </c>
      <c r="I3" s="19"/>
      <c r="J3" s="21">
        <v>11695</v>
      </c>
      <c r="K3" s="21">
        <f>_xlfn.XLOOKUP(tblBelege[[#This Row],[Kunde]], tblKunden[Name], tblKunden[Debitor], 0)</f>
        <v>12001</v>
      </c>
    </row>
    <row r="4" spans="1:11" x14ac:dyDescent="0.25">
      <c r="A4" s="15">
        <v>46114</v>
      </c>
      <c r="B4" s="16" t="s">
        <v>172</v>
      </c>
      <c r="C4" s="38" t="s">
        <v>24</v>
      </c>
      <c r="D4" s="17">
        <v>6466</v>
      </c>
      <c r="E4" s="37">
        <v>0</v>
      </c>
      <c r="F4" s="18">
        <f>tblBelege[[#This Row],[Netto]]*(1+tblBelege[[#This Row],[Steuer]])</f>
        <v>6466</v>
      </c>
      <c r="G4" s="18" t="str">
        <f>LEFT(tblBelege[[#This Row],[Beleg-Art]], 1) &amp; TEXT(tblBelege[[#This Row],[Datum]], "JJ") &amp; "-" &amp; tblBelege[[#This Row],[Beleg-ID]]</f>
        <v>R26-11696</v>
      </c>
      <c r="H4" s="39" t="s">
        <v>146</v>
      </c>
      <c r="I4" s="19"/>
      <c r="J4" s="21">
        <v>11696</v>
      </c>
      <c r="K4" s="21">
        <f>_xlfn.XLOOKUP(tblBelege[[#This Row],[Kunde]], tblKunden[Name], tblKunden[Debitor], 0)</f>
        <v>12005</v>
      </c>
    </row>
    <row r="5" spans="1:11" x14ac:dyDescent="0.25">
      <c r="A5" s="15">
        <v>46120</v>
      </c>
      <c r="B5" s="16" t="s">
        <v>7</v>
      </c>
      <c r="C5" s="38" t="s">
        <v>24</v>
      </c>
      <c r="D5" s="17">
        <v>2300</v>
      </c>
      <c r="E5" s="37">
        <v>0.19</v>
      </c>
      <c r="F5" s="18">
        <f>tblBelege[[#This Row],[Netto]]*(1+tblBelege[[#This Row],[Steuer]])</f>
        <v>2737</v>
      </c>
      <c r="G5" s="18" t="str">
        <f>LEFT(tblBelege[[#This Row],[Beleg-Art]], 1) &amp; TEXT(tblBelege[[#This Row],[Datum]], "JJ") &amp; "-" &amp; tblBelege[[#This Row],[Beleg-ID]]</f>
        <v>R26-11697</v>
      </c>
      <c r="H5" s="39" t="s">
        <v>132</v>
      </c>
      <c r="I5" s="19" t="s">
        <v>183</v>
      </c>
      <c r="J5" s="21">
        <v>11697</v>
      </c>
      <c r="K5" s="21">
        <f>_xlfn.XLOOKUP(tblBelege[[#This Row],[Kunde]], tblKunden[Name], tblKunden[Debitor], 0)</f>
        <v>12002</v>
      </c>
    </row>
    <row r="6" spans="1:11" x14ac:dyDescent="0.25">
      <c r="A6" s="15">
        <v>46120</v>
      </c>
      <c r="B6" s="16" t="s">
        <v>7</v>
      </c>
      <c r="C6" s="38" t="s">
        <v>24</v>
      </c>
      <c r="D6" s="17">
        <v>1000</v>
      </c>
      <c r="E6" s="37">
        <v>0.19</v>
      </c>
      <c r="F6" s="18">
        <f>tblBelege[[#This Row],[Netto]]*(1+tblBelege[[#This Row],[Steuer]])</f>
        <v>1190</v>
      </c>
      <c r="G6" s="18" t="str">
        <f>LEFT(tblBelege[[#This Row],[Beleg-Art]], 1) &amp; TEXT(tblBelege[[#This Row],[Datum]], "JJ") &amp; "-" &amp; tblBelege[[#This Row],[Beleg-ID]]</f>
        <v>R26-11698</v>
      </c>
      <c r="H6" s="39" t="s">
        <v>109</v>
      </c>
      <c r="I6" s="19"/>
      <c r="J6" s="21">
        <v>11698</v>
      </c>
      <c r="K6" s="21">
        <f>_xlfn.XLOOKUP(tblBelege[[#This Row],[Kunde]], tblKunden[Name], tblKunden[Debitor], 0)</f>
        <v>12002</v>
      </c>
    </row>
    <row r="7" spans="1:11" x14ac:dyDescent="0.25">
      <c r="A7" s="15">
        <v>46121</v>
      </c>
      <c r="B7" s="16" t="s">
        <v>7</v>
      </c>
      <c r="C7" s="38" t="s">
        <v>181</v>
      </c>
      <c r="D7" s="17">
        <v>-2300</v>
      </c>
      <c r="E7" s="37">
        <v>0.19</v>
      </c>
      <c r="F7" s="18">
        <f>tblBelege[[#This Row],[Netto]]*(1+tblBelege[[#This Row],[Steuer]])</f>
        <v>-2737</v>
      </c>
      <c r="G7" s="18" t="str">
        <f>LEFT(tblBelege[[#This Row],[Beleg-Art]], 1) &amp; TEXT(tblBelege[[#This Row],[Datum]], "JJ") &amp; "-" &amp; tblBelege[[#This Row],[Beleg-ID]]</f>
        <v>G26-11699</v>
      </c>
      <c r="H7" s="39" t="s">
        <v>109</v>
      </c>
      <c r="I7" s="19" t="s">
        <v>182</v>
      </c>
      <c r="J7" s="21">
        <v>11699</v>
      </c>
      <c r="K7" s="21">
        <f>_xlfn.XLOOKUP(tblBelege[[#This Row],[Kunde]], tblKunden[Name], tblKunden[Debitor], 0)</f>
        <v>12002</v>
      </c>
    </row>
    <row r="8" spans="1:11" x14ac:dyDescent="0.25">
      <c r="A8" s="15">
        <v>46123</v>
      </c>
      <c r="B8" s="16" t="s">
        <v>40</v>
      </c>
      <c r="C8" s="38" t="s">
        <v>24</v>
      </c>
      <c r="D8" s="17">
        <v>5990</v>
      </c>
      <c r="E8" s="37">
        <v>0</v>
      </c>
      <c r="F8" s="18">
        <f>tblBelege[[#This Row],[Netto]]*(1+tblBelege[[#This Row],[Steuer]])</f>
        <v>5990</v>
      </c>
      <c r="G8" s="18" t="str">
        <f>LEFT(tblBelege[[#This Row],[Beleg-Art]], 1) &amp; TEXT(tblBelege[[#This Row],[Datum]], "JJ") &amp; "-" &amp; tblBelege[[#This Row],[Beleg-ID]]</f>
        <v>R26-11700</v>
      </c>
      <c r="H8" s="39" t="s">
        <v>109</v>
      </c>
      <c r="I8" s="19"/>
      <c r="J8" s="21">
        <v>11700</v>
      </c>
      <c r="K8" s="21">
        <f>_xlfn.XLOOKUP(tblBelege[[#This Row],[Kunde]], tblKunden[Name], tblKunden[Debitor], 0)</f>
        <v>12004</v>
      </c>
    </row>
  </sheetData>
  <conditionalFormatting sqref="K3:K8">
    <cfRule type="expression" dxfId="57" priority="4">
      <formula>$K3=0</formula>
    </cfRule>
  </conditionalFormatting>
  <conditionalFormatting sqref="A3:E8">
    <cfRule type="expression" dxfId="56" priority="3">
      <formula>$C3 = "Gutschrift"</formula>
    </cfRule>
  </conditionalFormatting>
  <conditionalFormatting sqref="G3:G8">
    <cfRule type="expression" dxfId="55" priority="5">
      <formula>OR($C3="",$J3="")</formula>
    </cfRule>
  </conditionalFormatting>
  <conditionalFormatting sqref="F3:F8">
    <cfRule type="expression" dxfId="54" priority="1">
      <formula>$F3=""</formula>
    </cfRule>
  </conditionalFormatting>
  <dataValidations count="2">
    <dataValidation type="list" allowBlank="1" showInputMessage="1" showErrorMessage="1" sqref="B3:B8" xr:uid="{ADDE9A45-B81F-4FF9-9D1E-04CFB8583E71}">
      <formula1>Kunden</formula1>
    </dataValidation>
    <dataValidation type="list" allowBlank="1" showInputMessage="1" showErrorMessage="1" sqref="C3:C8" xr:uid="{28B16FC7-12D4-472F-BB79-02BC3DAC2A01}">
      <formula1>"Rechnung,Gutschrift"</formula1>
    </dataValidation>
  </dataValidations>
  <pageMargins left="0.7" right="0.7" top="0.78740157499999996" bottom="0.78740157499999996" header="0.3" footer="0.3"/>
  <pageSetup paperSize="9" fitToHeight="0" orientation="landscape" horizontalDpi="4294967293" verticalDpi="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04116-CDC7-49DF-9908-2265F7B31FDC}">
  <sheetPr codeName="shKunden"/>
  <dimension ref="A1:N7"/>
  <sheetViews>
    <sheetView workbookViewId="0">
      <pane ySplit="2" topLeftCell="A3" activePane="bottomLeft" state="frozen"/>
      <selection pane="bottomLeft" activeCell="A6" sqref="A6:N6"/>
    </sheetView>
  </sheetViews>
  <sheetFormatPr baseColWidth="10" defaultRowHeight="15" x14ac:dyDescent="0.25"/>
  <cols>
    <col min="1" max="1" width="24" customWidth="1"/>
    <col min="2" max="2" width="27.875" customWidth="1"/>
    <col min="3" max="3" width="7.875" customWidth="1"/>
    <col min="4" max="4" width="16.5" customWidth="1"/>
    <col min="5" max="5" width="20.5" customWidth="1"/>
    <col min="6" max="6" width="18.375" customWidth="1"/>
    <col min="7" max="7" width="23.125" customWidth="1"/>
    <col min="8" max="8" width="22.75" bestFit="1" customWidth="1"/>
    <col min="9" max="9" width="25.25" bestFit="1" customWidth="1"/>
    <col min="10" max="10" width="5.75" bestFit="1" customWidth="1"/>
    <col min="11" max="11" width="24.125" customWidth="1"/>
    <col min="13" max="13" width="9.25" customWidth="1"/>
  </cols>
  <sheetData>
    <row r="1" spans="1:14" s="28" customFormat="1" ht="48" customHeight="1" x14ac:dyDescent="0.25">
      <c r="A1" s="27" t="s">
        <v>38</v>
      </c>
    </row>
    <row r="2" spans="1:14" s="20" customFormat="1" ht="48" customHeight="1" x14ac:dyDescent="0.25">
      <c r="A2" s="20" t="s">
        <v>0</v>
      </c>
      <c r="B2" s="20" t="s">
        <v>1</v>
      </c>
      <c r="C2" s="20" t="s">
        <v>2</v>
      </c>
      <c r="D2" s="20" t="s">
        <v>3</v>
      </c>
      <c r="E2" s="20" t="s">
        <v>157</v>
      </c>
      <c r="F2" s="20" t="s">
        <v>105</v>
      </c>
      <c r="G2" s="20" t="s">
        <v>29</v>
      </c>
      <c r="H2" s="20" t="s">
        <v>167</v>
      </c>
      <c r="I2" s="20" t="s">
        <v>30</v>
      </c>
      <c r="J2" s="20" t="s">
        <v>31</v>
      </c>
      <c r="K2" s="20" t="s">
        <v>32</v>
      </c>
      <c r="L2" s="20" t="s">
        <v>28</v>
      </c>
      <c r="M2" s="20" t="s">
        <v>155</v>
      </c>
      <c r="N2" s="20" t="s">
        <v>156</v>
      </c>
    </row>
    <row r="3" spans="1:14" x14ac:dyDescent="0.25">
      <c r="A3" s="14" t="s">
        <v>168</v>
      </c>
      <c r="B3" s="14" t="s">
        <v>169</v>
      </c>
      <c r="C3" s="14" t="s">
        <v>170</v>
      </c>
      <c r="D3" s="14" t="s">
        <v>171</v>
      </c>
      <c r="E3" s="14"/>
      <c r="F3" s="14"/>
      <c r="G3" s="14"/>
      <c r="H3" s="14"/>
      <c r="J3" s="14"/>
      <c r="K3" s="14"/>
      <c r="L3" s="36">
        <v>12001</v>
      </c>
      <c r="M3" s="14"/>
      <c r="N3" s="14"/>
    </row>
    <row r="4" spans="1:14" x14ac:dyDescent="0.25">
      <c r="A4" s="14" t="s">
        <v>7</v>
      </c>
      <c r="B4" s="14" t="s">
        <v>163</v>
      </c>
      <c r="C4" s="14">
        <v>28329</v>
      </c>
      <c r="D4" s="14" t="s">
        <v>6</v>
      </c>
      <c r="E4" s="14"/>
      <c r="F4" s="14"/>
      <c r="G4" s="14"/>
      <c r="H4" s="14" t="s">
        <v>34</v>
      </c>
      <c r="I4" t="s">
        <v>35</v>
      </c>
      <c r="J4" s="14" t="s">
        <v>36</v>
      </c>
      <c r="K4" s="14"/>
      <c r="L4" s="36">
        <v>12002</v>
      </c>
      <c r="M4" s="14"/>
      <c r="N4" s="14"/>
    </row>
    <row r="5" spans="1:14" x14ac:dyDescent="0.25">
      <c r="A5" s="14" t="s">
        <v>4</v>
      </c>
      <c r="B5" s="14" t="s">
        <v>5</v>
      </c>
      <c r="C5" s="14">
        <v>28307</v>
      </c>
      <c r="D5" s="14" t="s">
        <v>6</v>
      </c>
      <c r="E5" s="14"/>
      <c r="F5" s="14"/>
      <c r="G5" s="14" t="s">
        <v>33</v>
      </c>
      <c r="H5" s="14"/>
      <c r="I5" t="s">
        <v>35</v>
      </c>
      <c r="J5" s="14" t="s">
        <v>37</v>
      </c>
      <c r="K5" s="14"/>
      <c r="L5" s="36">
        <v>12003</v>
      </c>
      <c r="M5" s="14"/>
      <c r="N5" s="14"/>
    </row>
    <row r="6" spans="1:14" x14ac:dyDescent="0.25">
      <c r="A6" s="14" t="s">
        <v>40</v>
      </c>
      <c r="B6" s="14" t="s">
        <v>164</v>
      </c>
      <c r="C6" s="14" t="s">
        <v>165</v>
      </c>
      <c r="D6" s="14" t="s">
        <v>166</v>
      </c>
      <c r="E6" s="14"/>
      <c r="F6" s="14"/>
      <c r="G6" s="14"/>
      <c r="H6" s="14" t="s">
        <v>69</v>
      </c>
      <c r="I6" t="s">
        <v>35</v>
      </c>
      <c r="J6" s="14" t="s">
        <v>36</v>
      </c>
      <c r="K6" s="14"/>
      <c r="L6" s="36">
        <v>12004</v>
      </c>
      <c r="M6" s="14"/>
      <c r="N6" s="14"/>
    </row>
    <row r="7" spans="1:14" x14ac:dyDescent="0.25">
      <c r="A7" s="14" t="s">
        <v>172</v>
      </c>
      <c r="B7" s="14" t="s">
        <v>173</v>
      </c>
      <c r="C7" s="14" t="s">
        <v>174</v>
      </c>
      <c r="D7" s="14" t="s">
        <v>175</v>
      </c>
      <c r="E7" s="14"/>
      <c r="F7" s="14"/>
      <c r="G7" s="14"/>
      <c r="H7" s="14"/>
      <c r="J7" s="14"/>
      <c r="K7" s="14"/>
      <c r="L7" s="36">
        <v>12005</v>
      </c>
      <c r="M7" s="14"/>
      <c r="N7" s="14"/>
    </row>
  </sheetData>
  <conditionalFormatting sqref="L3:L7">
    <cfRule type="expression" dxfId="40" priority="2">
      <formula>OR(ISBLANK($L3),$L3&lt;10000)</formula>
    </cfRule>
  </conditionalFormatting>
  <conditionalFormatting sqref="A3:A7">
    <cfRule type="duplicateValues" dxfId="39" priority="7"/>
  </conditionalFormatting>
  <pageMargins left="0.7" right="0.7" top="0.78740157499999996" bottom="0.78740157499999996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18FA57-06B2-482B-8EF4-5E35CBA14468}">
  <sheetPr codeName="shOptions"/>
  <dimension ref="A1:C29"/>
  <sheetViews>
    <sheetView workbookViewId="0">
      <selection activeCell="A9" sqref="A9"/>
    </sheetView>
  </sheetViews>
  <sheetFormatPr baseColWidth="10" defaultRowHeight="15" x14ac:dyDescent="0.25"/>
  <cols>
    <col min="1" max="1" width="27.75" customWidth="1"/>
    <col min="2" max="2" width="22.25" customWidth="1"/>
    <col min="3" max="3" width="37" customWidth="1"/>
  </cols>
  <sheetData>
    <row r="1" spans="1:3" s="34" customFormat="1" ht="48" customHeight="1" x14ac:dyDescent="0.25">
      <c r="A1" s="35" t="s">
        <v>158</v>
      </c>
      <c r="B1" s="33"/>
    </row>
    <row r="2" spans="1:3" ht="48" customHeight="1" x14ac:dyDescent="0.25">
      <c r="A2" s="23" t="s">
        <v>41</v>
      </c>
      <c r="B2" s="23" t="s">
        <v>75</v>
      </c>
      <c r="C2" s="23" t="s">
        <v>42</v>
      </c>
    </row>
    <row r="3" spans="1:3" x14ac:dyDescent="0.25">
      <c r="A3" s="9" t="s">
        <v>43</v>
      </c>
      <c r="B3" s="9" t="s">
        <v>76</v>
      </c>
      <c r="C3" s="24" t="s">
        <v>180</v>
      </c>
    </row>
    <row r="4" spans="1:3" x14ac:dyDescent="0.25">
      <c r="A4" s="9" t="s">
        <v>161</v>
      </c>
      <c r="B4" s="9" t="s">
        <v>162</v>
      </c>
      <c r="C4" s="9">
        <v>12001</v>
      </c>
    </row>
    <row r="5" spans="1:3" x14ac:dyDescent="0.25">
      <c r="A5" s="9" t="s">
        <v>176</v>
      </c>
      <c r="B5" s="9" t="s">
        <v>77</v>
      </c>
      <c r="C5" s="9">
        <v>10001</v>
      </c>
    </row>
    <row r="6" spans="1:3" x14ac:dyDescent="0.25">
      <c r="A6" s="9" t="s">
        <v>177</v>
      </c>
      <c r="B6" s="9" t="s">
        <v>178</v>
      </c>
      <c r="C6" s="9">
        <v>80001</v>
      </c>
    </row>
    <row r="7" spans="1:3" x14ac:dyDescent="0.25">
      <c r="A7" s="9" t="s">
        <v>44</v>
      </c>
      <c r="B7" s="9" t="s">
        <v>78</v>
      </c>
      <c r="C7" s="9" t="s">
        <v>45</v>
      </c>
    </row>
    <row r="8" spans="1:3" x14ac:dyDescent="0.25">
      <c r="A8" s="9" t="s">
        <v>46</v>
      </c>
      <c r="B8" s="9" t="s">
        <v>79</v>
      </c>
      <c r="C8" s="9">
        <v>14</v>
      </c>
    </row>
    <row r="9" spans="1:3" x14ac:dyDescent="0.25">
      <c r="A9" s="9" t="s">
        <v>47</v>
      </c>
      <c r="B9" s="9" t="s">
        <v>80</v>
      </c>
      <c r="C9" s="25">
        <v>0.19</v>
      </c>
    </row>
    <row r="10" spans="1:3" x14ac:dyDescent="0.25">
      <c r="A10" s="9" t="s">
        <v>99</v>
      </c>
      <c r="B10" s="9" t="s">
        <v>81</v>
      </c>
      <c r="C10" s="9" t="s">
        <v>4</v>
      </c>
    </row>
    <row r="11" spans="1:3" x14ac:dyDescent="0.25">
      <c r="A11" s="9" t="s">
        <v>48</v>
      </c>
      <c r="B11" s="9" t="s">
        <v>82</v>
      </c>
      <c r="C11" s="9" t="s">
        <v>5</v>
      </c>
    </row>
    <row r="12" spans="1:3" x14ac:dyDescent="0.25">
      <c r="A12" s="9" t="s">
        <v>49</v>
      </c>
      <c r="B12" s="9" t="s">
        <v>83</v>
      </c>
      <c r="C12" s="9">
        <v>28307</v>
      </c>
    </row>
    <row r="13" spans="1:3" x14ac:dyDescent="0.25">
      <c r="A13" s="9" t="s">
        <v>50</v>
      </c>
      <c r="B13" s="9" t="s">
        <v>84</v>
      </c>
      <c r="C13" s="9" t="s">
        <v>6</v>
      </c>
    </row>
    <row r="14" spans="1:3" x14ac:dyDescent="0.25">
      <c r="A14" s="9" t="s">
        <v>51</v>
      </c>
      <c r="B14" s="9" t="s">
        <v>85</v>
      </c>
      <c r="C14" s="9" t="s">
        <v>52</v>
      </c>
    </row>
    <row r="15" spans="1:3" x14ac:dyDescent="0.25">
      <c r="A15" s="9" t="s">
        <v>53</v>
      </c>
      <c r="B15" s="9" t="s">
        <v>86</v>
      </c>
      <c r="C15" s="9" t="s">
        <v>37</v>
      </c>
    </row>
    <row r="16" spans="1:3" x14ac:dyDescent="0.25">
      <c r="A16" s="9" t="s">
        <v>54</v>
      </c>
      <c r="B16" s="9" t="s">
        <v>87</v>
      </c>
      <c r="C16" s="9" t="s">
        <v>55</v>
      </c>
    </row>
    <row r="17" spans="1:3" x14ac:dyDescent="0.25">
      <c r="A17" s="9" t="s">
        <v>56</v>
      </c>
      <c r="B17" s="9" t="s">
        <v>88</v>
      </c>
      <c r="C17" s="9" t="s">
        <v>57</v>
      </c>
    </row>
    <row r="18" spans="1:3" x14ac:dyDescent="0.25">
      <c r="A18" s="9" t="s">
        <v>58</v>
      </c>
      <c r="B18" s="9" t="s">
        <v>89</v>
      </c>
      <c r="C18" s="9" t="s">
        <v>59</v>
      </c>
    </row>
    <row r="19" spans="1:3" x14ac:dyDescent="0.25">
      <c r="A19" s="9" t="s">
        <v>60</v>
      </c>
      <c r="B19" s="9" t="s">
        <v>90</v>
      </c>
      <c r="C19" s="9" t="s">
        <v>61</v>
      </c>
    </row>
    <row r="20" spans="1:3" x14ac:dyDescent="0.25">
      <c r="A20" s="9" t="s">
        <v>62</v>
      </c>
      <c r="B20" s="9" t="s">
        <v>91</v>
      </c>
      <c r="C20" s="9" t="s">
        <v>33</v>
      </c>
    </row>
    <row r="21" spans="1:3" x14ac:dyDescent="0.25">
      <c r="A21" s="9" t="s">
        <v>63</v>
      </c>
      <c r="B21" s="9" t="s">
        <v>92</v>
      </c>
      <c r="C21" s="9" t="s">
        <v>64</v>
      </c>
    </row>
    <row r="22" spans="1:3" x14ac:dyDescent="0.25">
      <c r="A22" s="9" t="s">
        <v>70</v>
      </c>
      <c r="B22" s="9" t="s">
        <v>93</v>
      </c>
      <c r="C22" s="9" t="s">
        <v>71</v>
      </c>
    </row>
    <row r="23" spans="1:3" x14ac:dyDescent="0.25">
      <c r="A23" s="9" t="s">
        <v>65</v>
      </c>
      <c r="B23" s="9" t="s">
        <v>94</v>
      </c>
      <c r="C23" s="9" t="s">
        <v>66</v>
      </c>
    </row>
    <row r="24" spans="1:3" x14ac:dyDescent="0.25">
      <c r="A24" s="9" t="s">
        <v>67</v>
      </c>
      <c r="B24" s="9" t="s">
        <v>95</v>
      </c>
      <c r="C24" s="26">
        <v>-84.03</v>
      </c>
    </row>
    <row r="25" spans="1:3" x14ac:dyDescent="0.25">
      <c r="A25" s="9" t="s">
        <v>68</v>
      </c>
      <c r="B25" s="9" t="s">
        <v>96</v>
      </c>
      <c r="C25" s="9" t="s">
        <v>69</v>
      </c>
    </row>
    <row r="26" spans="1:3" x14ac:dyDescent="0.25">
      <c r="A26" s="9" t="s">
        <v>72</v>
      </c>
      <c r="B26" s="9" t="s">
        <v>97</v>
      </c>
      <c r="C26" s="9">
        <v>3</v>
      </c>
    </row>
    <row r="27" spans="1:3" x14ac:dyDescent="0.25">
      <c r="A27" s="9" t="s">
        <v>73</v>
      </c>
      <c r="B27" s="9" t="s">
        <v>98</v>
      </c>
      <c r="C27" s="9" t="s">
        <v>74</v>
      </c>
    </row>
    <row r="28" spans="1:3" x14ac:dyDescent="0.25">
      <c r="A28" s="9" t="s">
        <v>184</v>
      </c>
      <c r="B28" s="9" t="s">
        <v>186</v>
      </c>
      <c r="C28" s="9" t="s">
        <v>185</v>
      </c>
    </row>
    <row r="29" spans="1:3" x14ac:dyDescent="0.25">
      <c r="A29" s="9" t="s">
        <v>188</v>
      </c>
      <c r="B29" s="9" t="s">
        <v>189</v>
      </c>
      <c r="C29" s="9" t="s">
        <v>187</v>
      </c>
    </row>
  </sheetData>
  <pageMargins left="0.7" right="0.7" top="0.78740157499999996" bottom="0.78740157499999996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111654-1247-4549-87F2-38AAE8386115}">
  <sheetPr codeName="shUsers"/>
  <dimension ref="A1:G11"/>
  <sheetViews>
    <sheetView workbookViewId="0">
      <selection activeCell="E5" sqref="E5:E11"/>
    </sheetView>
  </sheetViews>
  <sheetFormatPr baseColWidth="10" defaultRowHeight="15" x14ac:dyDescent="0.25"/>
  <cols>
    <col min="1" max="1" width="13.875" style="9" bestFit="1" customWidth="1"/>
    <col min="2" max="2" width="11.75" style="9" bestFit="1" customWidth="1"/>
    <col min="3" max="3" width="10.25" style="9" bestFit="1" customWidth="1"/>
    <col min="4" max="4" width="10.75" style="9" customWidth="1"/>
    <col min="5" max="5" width="18.75" style="9" bestFit="1" customWidth="1"/>
    <col min="6" max="6" width="15.375" style="9" customWidth="1"/>
    <col min="7" max="7" width="26" style="9" customWidth="1"/>
    <col min="8" max="16384" width="11" style="9"/>
  </cols>
  <sheetData>
    <row r="1" spans="1:7" s="29" customFormat="1" ht="48" customHeight="1" x14ac:dyDescent="0.25">
      <c r="A1" s="29" t="s">
        <v>100</v>
      </c>
    </row>
    <row r="2" spans="1:7" ht="48" customHeight="1" x14ac:dyDescent="0.25">
      <c r="A2" s="9" t="s">
        <v>100</v>
      </c>
      <c r="B2" s="9" t="s">
        <v>101</v>
      </c>
      <c r="C2" s="9" t="s">
        <v>102</v>
      </c>
      <c r="D2" s="9" t="s">
        <v>103</v>
      </c>
      <c r="E2" s="9" t="s">
        <v>104</v>
      </c>
      <c r="F2" s="9" t="s">
        <v>105</v>
      </c>
      <c r="G2" s="9" t="s">
        <v>29</v>
      </c>
    </row>
    <row r="3" spans="1:7" x14ac:dyDescent="0.25">
      <c r="A3" s="9" t="s">
        <v>106</v>
      </c>
      <c r="B3" s="9" t="s">
        <v>107</v>
      </c>
      <c r="C3" s="9" t="s">
        <v>108</v>
      </c>
      <c r="D3" s="9" t="s">
        <v>109</v>
      </c>
      <c r="E3" s="9" t="s">
        <v>110</v>
      </c>
      <c r="F3" s="9" t="s">
        <v>111</v>
      </c>
      <c r="G3" s="9" t="s">
        <v>112</v>
      </c>
    </row>
    <row r="4" spans="1:7" x14ac:dyDescent="0.25">
      <c r="A4" s="9" t="s">
        <v>113</v>
      </c>
      <c r="B4" s="9" t="s">
        <v>114</v>
      </c>
      <c r="C4" s="9" t="s">
        <v>115</v>
      </c>
      <c r="D4" s="9" t="s">
        <v>116</v>
      </c>
      <c r="E4" s="9" t="s">
        <v>117</v>
      </c>
      <c r="G4" s="9" t="s">
        <v>118</v>
      </c>
    </row>
    <row r="5" spans="1:7" x14ac:dyDescent="0.25">
      <c r="A5" s="9" t="s">
        <v>119</v>
      </c>
      <c r="B5" s="9" t="s">
        <v>120</v>
      </c>
      <c r="C5" s="9" t="s">
        <v>121</v>
      </c>
      <c r="D5" s="9" t="s">
        <v>122</v>
      </c>
      <c r="E5" s="9" t="s">
        <v>64</v>
      </c>
      <c r="G5" s="9" t="s">
        <v>123</v>
      </c>
    </row>
    <row r="6" spans="1:7" x14ac:dyDescent="0.25">
      <c r="A6" s="9" t="s">
        <v>124</v>
      </c>
      <c r="B6" s="9" t="s">
        <v>125</v>
      </c>
      <c r="C6" s="9" t="s">
        <v>126</v>
      </c>
      <c r="D6" s="9" t="s">
        <v>127</v>
      </c>
      <c r="E6" s="9" t="s">
        <v>64</v>
      </c>
      <c r="G6" s="9" t="s">
        <v>128</v>
      </c>
    </row>
    <row r="7" spans="1:7" x14ac:dyDescent="0.25">
      <c r="A7" s="9" t="s">
        <v>129</v>
      </c>
      <c r="B7" s="9" t="s">
        <v>130</v>
      </c>
      <c r="C7" s="9" t="s">
        <v>131</v>
      </c>
      <c r="D7" s="9" t="s">
        <v>132</v>
      </c>
      <c r="E7" s="9" t="s">
        <v>64</v>
      </c>
      <c r="G7" s="9" t="s">
        <v>133</v>
      </c>
    </row>
    <row r="8" spans="1:7" x14ac:dyDescent="0.25">
      <c r="A8" s="9" t="s">
        <v>134</v>
      </c>
      <c r="B8" s="9" t="s">
        <v>135</v>
      </c>
      <c r="C8" s="9" t="s">
        <v>131</v>
      </c>
      <c r="D8" s="9" t="s">
        <v>136</v>
      </c>
      <c r="E8" s="9" t="s">
        <v>64</v>
      </c>
      <c r="G8" s="9" t="s">
        <v>137</v>
      </c>
    </row>
    <row r="9" spans="1:7" x14ac:dyDescent="0.25">
      <c r="A9" s="9" t="s">
        <v>138</v>
      </c>
      <c r="B9" s="9" t="s">
        <v>139</v>
      </c>
      <c r="C9" s="9" t="s">
        <v>140</v>
      </c>
      <c r="D9" s="9" t="s">
        <v>141</v>
      </c>
      <c r="E9" s="9" t="s">
        <v>64</v>
      </c>
      <c r="G9" s="9" t="s">
        <v>142</v>
      </c>
    </row>
    <row r="10" spans="1:7" x14ac:dyDescent="0.25">
      <c r="A10" s="9" t="s">
        <v>143</v>
      </c>
      <c r="B10" s="9" t="s">
        <v>144</v>
      </c>
      <c r="C10" s="9" t="s">
        <v>145</v>
      </c>
      <c r="D10" s="9" t="s">
        <v>146</v>
      </c>
      <c r="E10" s="9" t="s">
        <v>64</v>
      </c>
      <c r="G10" s="9" t="s">
        <v>147</v>
      </c>
    </row>
    <row r="11" spans="1:7" x14ac:dyDescent="0.25">
      <c r="A11" s="9" t="s">
        <v>148</v>
      </c>
      <c r="B11" s="9" t="s">
        <v>149</v>
      </c>
      <c r="C11" s="9" t="s">
        <v>150</v>
      </c>
      <c r="D11" s="9" t="s">
        <v>151</v>
      </c>
      <c r="E11" s="9" t="s">
        <v>64</v>
      </c>
      <c r="G11" s="9" t="s">
        <v>152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4EBB07-F372-4250-8ED8-F0BDBDB34F2B}">
  <sheetPr codeName="shDeveloper"/>
  <dimension ref="A1:F19"/>
  <sheetViews>
    <sheetView workbookViewId="0">
      <selection activeCell="D30" sqref="D30"/>
    </sheetView>
  </sheetViews>
  <sheetFormatPr baseColWidth="10" defaultRowHeight="15" x14ac:dyDescent="0.25"/>
  <cols>
    <col min="1" max="1" width="15.625" customWidth="1"/>
    <col min="2" max="2" width="14.25" customWidth="1"/>
    <col min="3" max="3" width="17.25" customWidth="1"/>
    <col min="4" max="4" width="21.25" customWidth="1"/>
    <col min="5" max="5" width="34.875" customWidth="1"/>
    <col min="6" max="6" width="48.75" customWidth="1"/>
  </cols>
  <sheetData>
    <row r="1" spans="1:6" ht="21" x14ac:dyDescent="0.25">
      <c r="A1" s="1" t="s">
        <v>8</v>
      </c>
      <c r="B1" s="2"/>
      <c r="C1" s="3"/>
      <c r="D1" s="2"/>
      <c r="E1" s="2"/>
      <c r="F1" s="2"/>
    </row>
    <row r="2" spans="1:6" x14ac:dyDescent="0.25">
      <c r="A2" s="4"/>
      <c r="B2" s="4"/>
      <c r="C2" s="4"/>
      <c r="D2" s="4"/>
      <c r="E2" s="4"/>
      <c r="F2" s="4"/>
    </row>
    <row r="3" spans="1:6" x14ac:dyDescent="0.25">
      <c r="A3" s="4" t="s">
        <v>23</v>
      </c>
      <c r="B3" s="5" t="s">
        <v>159</v>
      </c>
      <c r="C3" s="4"/>
      <c r="D3" s="4"/>
      <c r="E3" s="4"/>
      <c r="F3" s="4"/>
    </row>
    <row r="4" spans="1:6" x14ac:dyDescent="0.25">
      <c r="A4" s="4" t="s">
        <v>22</v>
      </c>
      <c r="B4" s="5" t="s">
        <v>153</v>
      </c>
      <c r="C4" s="4"/>
      <c r="D4" s="4"/>
      <c r="E4" s="4"/>
      <c r="F4" s="4"/>
    </row>
    <row r="5" spans="1:6" ht="30" x14ac:dyDescent="0.25">
      <c r="A5" s="6" t="s">
        <v>9</v>
      </c>
      <c r="B5" s="7" t="s">
        <v>10</v>
      </c>
      <c r="C5" s="4"/>
      <c r="D5" s="22"/>
      <c r="E5" s="13"/>
      <c r="F5" s="8"/>
    </row>
    <row r="6" spans="1:6" x14ac:dyDescent="0.25">
      <c r="A6" s="9" t="s">
        <v>11</v>
      </c>
      <c r="B6" s="9" t="s">
        <v>12</v>
      </c>
      <c r="C6" s="9" t="s">
        <v>13</v>
      </c>
      <c r="D6" s="9" t="s">
        <v>14</v>
      </c>
      <c r="E6" s="9" t="s">
        <v>15</v>
      </c>
      <c r="F6" s="9" t="s">
        <v>16</v>
      </c>
    </row>
    <row r="7" spans="1:6" x14ac:dyDescent="0.25">
      <c r="A7" s="20" t="s">
        <v>0</v>
      </c>
      <c r="B7" s="10"/>
      <c r="C7" s="11" t="str">
        <f>_xlfn.REGEXREPLACE(tblDeveloper[[#This Row],[Headers]], "\W", "")</f>
        <v>Name</v>
      </c>
      <c r="D7" s="12" t="str">
        <f>EnumPrefix &amp; tblDeveloper[[#This Row],[VBA]] &amp; IF(ROW() = 7, " = 1", "")</f>
        <v>xkdName = 1</v>
      </c>
      <c r="E7" s="12" t="str">
        <f xml:space="preserve"> IF(ISBLANK(VariablePrefix), "", VariablePrefix &amp; " ") &amp; tblDeveloper[[#This Row],[VBA]] &amp; " As " &amp; IF(ISBLANK(tblDeveloper[[#This Row],[Type]]), "String", tblDeveloper[[#This Row],[Type]])</f>
        <v>Public Name As String</v>
      </c>
      <c r="F7" s="12" t="str">
        <f>tblDeveloper[[#This Row],[VBA]] &amp; " = " &amp; "values(1, " &amp; EnumPrefix &amp; tblDeveloper[[#This Row],[VBA]] &amp; ")"</f>
        <v>Name = values(1, xkdName)</v>
      </c>
    </row>
    <row r="8" spans="1:6" x14ac:dyDescent="0.25">
      <c r="A8" s="20" t="s">
        <v>1</v>
      </c>
      <c r="B8" s="10"/>
      <c r="C8" s="11" t="str">
        <f>_xlfn.REGEXREPLACE(tblDeveloper[[#This Row],[Headers]], "\W", "")</f>
        <v>Strasse</v>
      </c>
      <c r="D8" s="12" t="str">
        <f>EnumPrefix &amp; tblDeveloper[[#This Row],[VBA]] &amp; IF(ROW() = 7, " = 1", "")</f>
        <v>xkdStrasse</v>
      </c>
      <c r="E8" s="12" t="str">
        <f xml:space="preserve"> IF(ISBLANK(VariablePrefix), "", VariablePrefix &amp; " ") &amp; tblDeveloper[[#This Row],[VBA]] &amp; " As " &amp; IF(ISBLANK(tblDeveloper[[#This Row],[Type]]), "String", tblDeveloper[[#This Row],[Type]])</f>
        <v>Public Strasse As String</v>
      </c>
      <c r="F8" s="12" t="str">
        <f>tblDeveloper[[#This Row],[VBA]] &amp; " = " &amp; "values(1, " &amp; EnumPrefix &amp; tblDeveloper[[#This Row],[VBA]] &amp; ")"</f>
        <v>Strasse = values(1, xkdStrasse)</v>
      </c>
    </row>
    <row r="9" spans="1:6" x14ac:dyDescent="0.25">
      <c r="A9" s="20" t="s">
        <v>2</v>
      </c>
      <c r="B9" s="10"/>
      <c r="C9" s="11" t="str">
        <f>_xlfn.REGEXREPLACE(tblDeveloper[[#This Row],[Headers]], "\W", "")</f>
        <v>PLZ</v>
      </c>
      <c r="D9" s="12" t="str">
        <f>EnumPrefix &amp; tblDeveloper[[#This Row],[VBA]] &amp; IF(ROW() = 7, " = 1", "")</f>
        <v>xkdPLZ</v>
      </c>
      <c r="E9" s="12" t="str">
        <f xml:space="preserve"> IF(ISBLANK(VariablePrefix), "", VariablePrefix &amp; " ") &amp; tblDeveloper[[#This Row],[VBA]] &amp; " As " &amp; IF(ISBLANK(tblDeveloper[[#This Row],[Type]]), "String", tblDeveloper[[#This Row],[Type]])</f>
        <v>Public PLZ As String</v>
      </c>
      <c r="F9" s="12" t="str">
        <f>tblDeveloper[[#This Row],[VBA]] &amp; " = " &amp; "values(1, " &amp; EnumPrefix &amp; tblDeveloper[[#This Row],[VBA]] &amp; ")"</f>
        <v>PLZ = values(1, xkdPLZ)</v>
      </c>
    </row>
    <row r="10" spans="1:6" x14ac:dyDescent="0.25">
      <c r="A10" s="20" t="s">
        <v>3</v>
      </c>
      <c r="B10" s="10"/>
      <c r="C10" s="11" t="str">
        <f>_xlfn.REGEXREPLACE(tblDeveloper[[#This Row],[Headers]], "\W", "")</f>
        <v>Ort</v>
      </c>
      <c r="D10" s="12" t="str">
        <f>EnumPrefix &amp; tblDeveloper[[#This Row],[VBA]] &amp; IF(ROW() = 7, " = 1", "")</f>
        <v>xkdOrt</v>
      </c>
      <c r="E10" s="12" t="str">
        <f xml:space="preserve"> IF(ISBLANK(VariablePrefix), "", VariablePrefix &amp; " ") &amp; tblDeveloper[[#This Row],[VBA]] &amp; " As " &amp; IF(ISBLANK(tblDeveloper[[#This Row],[Type]]), "String", tblDeveloper[[#This Row],[Type]])</f>
        <v>Public Ort As String</v>
      </c>
      <c r="F10" s="12" t="str">
        <f>tblDeveloper[[#This Row],[VBA]] &amp; " = " &amp; "values(1, " &amp; EnumPrefix &amp; tblDeveloper[[#This Row],[VBA]] &amp; ")"</f>
        <v>Ort = values(1, xkdOrt)</v>
      </c>
    </row>
    <row r="11" spans="1:6" x14ac:dyDescent="0.25">
      <c r="A11" s="20" t="s">
        <v>157</v>
      </c>
      <c r="B11" s="10"/>
      <c r="C11" s="11" t="str">
        <f>_xlfn.REGEXREPLACE(tblDeveloper[[#This Row],[Headers]], "\W", "")</f>
        <v>Asp</v>
      </c>
      <c r="D11" s="12" t="str">
        <f>EnumPrefix &amp; tblDeveloper[[#This Row],[VBA]] &amp; IF(ROW() = 7, " = 1", "")</f>
        <v>xkdAsp</v>
      </c>
      <c r="E11" s="12" t="str">
        <f xml:space="preserve"> IF(ISBLANK(VariablePrefix), "", VariablePrefix &amp; " ") &amp; tblDeveloper[[#This Row],[VBA]] &amp; " As " &amp; IF(ISBLANK(tblDeveloper[[#This Row],[Type]]), "String", tblDeveloper[[#This Row],[Type]])</f>
        <v>Public Asp As String</v>
      </c>
      <c r="F11" s="12" t="str">
        <f>tblDeveloper[[#This Row],[VBA]] &amp; " = " &amp; "values(1, " &amp; EnumPrefix &amp; tblDeveloper[[#This Row],[VBA]] &amp; ")"</f>
        <v>Asp = values(1, xkdAsp)</v>
      </c>
    </row>
    <row r="12" spans="1:6" x14ac:dyDescent="0.25">
      <c r="A12" s="20" t="s">
        <v>105</v>
      </c>
      <c r="B12" s="10"/>
      <c r="C12" s="11" t="str">
        <f>_xlfn.REGEXREPLACE(tblDeveloper[[#This Row],[Headers]], "\W", "")</f>
        <v>Telefon</v>
      </c>
      <c r="D12" s="12" t="str">
        <f>EnumPrefix &amp; tblDeveloper[[#This Row],[VBA]] &amp; IF(ROW() = 7, " = 1", "")</f>
        <v>xkdTelefon</v>
      </c>
      <c r="E12" s="12" t="str">
        <f xml:space="preserve"> IF(ISBLANK(VariablePrefix), "", VariablePrefix &amp; " ") &amp; tblDeveloper[[#This Row],[VBA]] &amp; " As " &amp; IF(ISBLANK(tblDeveloper[[#This Row],[Type]]), "String", tblDeveloper[[#This Row],[Type]])</f>
        <v>Public Telefon As String</v>
      </c>
      <c r="F12" s="12" t="str">
        <f>tblDeveloper[[#This Row],[VBA]] &amp; " = " &amp; "values(1, " &amp; EnumPrefix &amp; tblDeveloper[[#This Row],[VBA]] &amp; ")"</f>
        <v>Telefon = values(1, xkdTelefon)</v>
      </c>
    </row>
    <row r="13" spans="1:6" x14ac:dyDescent="0.25">
      <c r="A13" s="20" t="s">
        <v>29</v>
      </c>
      <c r="B13" s="10"/>
      <c r="C13" s="11" t="str">
        <f>_xlfn.REGEXREPLACE(tblDeveloper[[#This Row],[Headers]], "\W", "")</f>
        <v>Email</v>
      </c>
      <c r="D13" s="12" t="str">
        <f>EnumPrefix &amp; tblDeveloper[[#This Row],[VBA]] &amp; IF(ROW() = 7, " = 1", "")</f>
        <v>xkdEmail</v>
      </c>
      <c r="E13" s="12" t="str">
        <f xml:space="preserve"> IF(ISBLANK(VariablePrefix), "", VariablePrefix &amp; " ") &amp; tblDeveloper[[#This Row],[VBA]] &amp; " As " &amp; IF(ISBLANK(tblDeveloper[[#This Row],[Type]]), "String", tblDeveloper[[#This Row],[Type]])</f>
        <v>Public Email As String</v>
      </c>
      <c r="F13" s="12" t="str">
        <f>tblDeveloper[[#This Row],[VBA]] &amp; " = " &amp; "values(1, " &amp; EnumPrefix &amp; tblDeveloper[[#This Row],[VBA]] &amp; ")"</f>
        <v>Email = values(1, xkdEmail)</v>
      </c>
    </row>
    <row r="14" spans="1:6" x14ac:dyDescent="0.25">
      <c r="A14" s="20" t="s">
        <v>30</v>
      </c>
      <c r="B14" s="10"/>
      <c r="C14" s="11" t="str">
        <f>_xlfn.REGEXREPLACE(tblDeveloper[[#This Row],[Headers]], "\W", "")</f>
        <v>Bank</v>
      </c>
      <c r="D14" s="12" t="str">
        <f>EnumPrefix &amp; tblDeveloper[[#This Row],[VBA]] &amp; IF(ROW() = 7, " = 1", "")</f>
        <v>xkdBank</v>
      </c>
      <c r="E14" s="12" t="str">
        <f xml:space="preserve"> IF(ISBLANK(VariablePrefix), "", VariablePrefix &amp; " ") &amp; tblDeveloper[[#This Row],[VBA]] &amp; " As " &amp; IF(ISBLANK(tblDeveloper[[#This Row],[Type]]), "String", tblDeveloper[[#This Row],[Type]])</f>
        <v>Public Bank As String</v>
      </c>
      <c r="F14" s="12" t="str">
        <f>tblDeveloper[[#This Row],[VBA]] &amp; " = " &amp; "values(1, " &amp; EnumPrefix &amp; tblDeveloper[[#This Row],[VBA]] &amp; ")"</f>
        <v>Bank = values(1, xkdBank)</v>
      </c>
    </row>
    <row r="15" spans="1:6" x14ac:dyDescent="0.25">
      <c r="A15" s="20" t="s">
        <v>31</v>
      </c>
      <c r="B15" s="10"/>
      <c r="C15" s="11" t="str">
        <f>_xlfn.REGEXREPLACE(tblDeveloper[[#This Row],[Headers]], "\W", "")</f>
        <v>IBAN</v>
      </c>
      <c r="D15" s="12" t="str">
        <f>EnumPrefix &amp; tblDeveloper[[#This Row],[VBA]] &amp; IF(ROW() = 7, " = 1", "")</f>
        <v>xkdIBAN</v>
      </c>
      <c r="E15" s="12" t="str">
        <f xml:space="preserve"> IF(ISBLANK(VariablePrefix), "", VariablePrefix &amp; " ") &amp; tblDeveloper[[#This Row],[VBA]] &amp; " As " &amp; IF(ISBLANK(tblDeveloper[[#This Row],[Type]]), "String", tblDeveloper[[#This Row],[Type]])</f>
        <v>Public IBAN As String</v>
      </c>
      <c r="F15" s="12" t="str">
        <f>tblDeveloper[[#This Row],[VBA]] &amp; " = " &amp; "values(1, " &amp; EnumPrefix &amp; tblDeveloper[[#This Row],[VBA]] &amp; ")"</f>
        <v>IBAN = values(1, xkdIBAN)</v>
      </c>
    </row>
    <row r="16" spans="1:6" x14ac:dyDescent="0.25">
      <c r="A16" s="20" t="s">
        <v>32</v>
      </c>
      <c r="B16" s="10"/>
      <c r="C16" s="11" t="str">
        <f>_xlfn.REGEXREPLACE(tblDeveloper[[#This Row],[Headers]], "\W", "")</f>
        <v>BIC</v>
      </c>
      <c r="D16" s="12" t="str">
        <f>EnumPrefix &amp; tblDeveloper[[#This Row],[VBA]] &amp; IF(ROW() = 7, " = 1", "")</f>
        <v>xkdBIC</v>
      </c>
      <c r="E16" s="12" t="str">
        <f xml:space="preserve"> IF(ISBLANK(VariablePrefix), "", VariablePrefix &amp; " ") &amp; tblDeveloper[[#This Row],[VBA]] &amp; " As " &amp; IF(ISBLANK(tblDeveloper[[#This Row],[Type]]), "String", tblDeveloper[[#This Row],[Type]])</f>
        <v>Public BIC As String</v>
      </c>
      <c r="F16" s="12" t="str">
        <f>tblDeveloper[[#This Row],[VBA]] &amp; " = " &amp; "values(1, " &amp; EnumPrefix &amp; tblDeveloper[[#This Row],[VBA]] &amp; ")"</f>
        <v>BIC = values(1, xkdBIC)</v>
      </c>
    </row>
    <row r="17" spans="1:6" x14ac:dyDescent="0.25">
      <c r="A17" s="20" t="s">
        <v>28</v>
      </c>
      <c r="B17" s="10" t="s">
        <v>160</v>
      </c>
      <c r="C17" s="11" t="str">
        <f>_xlfn.REGEXREPLACE(tblDeveloper[[#This Row],[Headers]], "\W", "")</f>
        <v>Debitor</v>
      </c>
      <c r="D17" s="12" t="str">
        <f>EnumPrefix &amp; tblDeveloper[[#This Row],[VBA]] &amp; IF(ROW() = 7, " = 1", "")</f>
        <v>xkdDebitor</v>
      </c>
      <c r="E17" s="12" t="str">
        <f xml:space="preserve"> IF(ISBLANK(VariablePrefix), "", VariablePrefix &amp; " ") &amp; tblDeveloper[[#This Row],[VBA]] &amp; " As " &amp; IF(ISBLANK(tblDeveloper[[#This Row],[Type]]), "String", tblDeveloper[[#This Row],[Type]])</f>
        <v>Public Debitor As Double</v>
      </c>
      <c r="F17" s="12" t="str">
        <f>tblDeveloper[[#This Row],[VBA]] &amp; " = " &amp; "values(1, " &amp; EnumPrefix &amp; tblDeveloper[[#This Row],[VBA]] &amp; ")"</f>
        <v>Debitor = values(1, xkdDebitor)</v>
      </c>
    </row>
    <row r="18" spans="1:6" x14ac:dyDescent="0.25">
      <c r="A18" s="20" t="s">
        <v>155</v>
      </c>
      <c r="B18" s="10"/>
      <c r="C18" s="11" t="str">
        <f>_xlfn.REGEXREPLACE(tblDeveloper[[#This Row],[Headers]], "\W", "")</f>
        <v>HR</v>
      </c>
      <c r="D18" s="12" t="str">
        <f>EnumPrefix &amp; tblDeveloper[[#This Row],[VBA]] &amp; IF(ROW() = 7, " = 1", "")</f>
        <v>xkdHR</v>
      </c>
      <c r="E18" s="12" t="str">
        <f xml:space="preserve"> IF(ISBLANK(VariablePrefix), "", VariablePrefix &amp; " ") &amp; tblDeveloper[[#This Row],[VBA]] &amp; " As " &amp; IF(ISBLANK(tblDeveloper[[#This Row],[Type]]), "String", tblDeveloper[[#This Row],[Type]])</f>
        <v>Public HR As String</v>
      </c>
      <c r="F18" s="12" t="str">
        <f>tblDeveloper[[#This Row],[VBA]] &amp; " = " &amp; "values(1, " &amp; EnumPrefix &amp; tblDeveloper[[#This Row],[VBA]] &amp; ")"</f>
        <v>HR = values(1, xkdHR)</v>
      </c>
    </row>
    <row r="19" spans="1:6" x14ac:dyDescent="0.25">
      <c r="A19" s="20" t="s">
        <v>156</v>
      </c>
      <c r="B19" s="10"/>
      <c r="C19" s="11" t="str">
        <f>_xlfn.REGEXREPLACE(tblDeveloper[[#This Row],[Headers]], "\W", "")</f>
        <v>UStId</v>
      </c>
      <c r="D19" s="12" t="str">
        <f>EnumPrefix &amp; tblDeveloper[[#This Row],[VBA]] &amp; IF(ROW() = 7, " = 1", "")</f>
        <v>xkdUStId</v>
      </c>
      <c r="E19" s="12" t="str">
        <f xml:space="preserve"> IF(ISBLANK(VariablePrefix), "", VariablePrefix &amp; " ") &amp; tblDeveloper[[#This Row],[VBA]] &amp; " As " &amp; IF(ISBLANK(tblDeveloper[[#This Row],[Type]]), "String", tblDeveloper[[#This Row],[Type]])</f>
        <v>Public UStId As String</v>
      </c>
      <c r="F19" s="12" t="str">
        <f>tblDeveloper[[#This Row],[VBA]] &amp; " = " &amp; "values(1, " &amp; EnumPrefix &amp; tblDeveloper[[#This Row],[VBA]] &amp; ")"</f>
        <v>UStId = values(1, xkdUStId)</v>
      </c>
    </row>
  </sheetData>
  <phoneticPr fontId="5" type="noConversion"/>
  <dataValidations count="2">
    <dataValidation type="list" allowBlank="1" showInputMessage="1" showErrorMessage="1" sqref="B7:B19" xr:uid="{A68EA9A6-1D84-4C99-9B42-DE02B386B66F}">
      <formula1>"Currency,Date,Double,Integer,Long"</formula1>
    </dataValidation>
    <dataValidation type="list" allowBlank="1" showInputMessage="1" showErrorMessage="1" sqref="B4" xr:uid="{98A0BF57-BD50-4C83-86F3-75E61F1B3172}">
      <formula1>"Public,Private"</formula1>
    </dataValidation>
  </dataValidations>
  <pageMargins left="0.7" right="0.7" top="0.78740157499999996" bottom="0.78740157499999996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5</vt:i4>
      </vt:variant>
      <vt:variant>
        <vt:lpstr>Benannte Bereiche</vt:lpstr>
      </vt:variant>
      <vt:variant>
        <vt:i4>3</vt:i4>
      </vt:variant>
    </vt:vector>
  </HeadingPairs>
  <TitlesOfParts>
    <vt:vector size="8" baseType="lpstr">
      <vt:lpstr>Belege</vt:lpstr>
      <vt:lpstr>Kunden</vt:lpstr>
      <vt:lpstr>Optionen</vt:lpstr>
      <vt:lpstr>Benutzer</vt:lpstr>
      <vt:lpstr>Developer</vt:lpstr>
      <vt:lpstr>EnumPrefix</vt:lpstr>
      <vt:lpstr>Kunden</vt:lpstr>
      <vt:lpstr>VariablePrefix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Joachim Meyer</dc:creator>
  <cp:lastModifiedBy>Joachim Meyer</cp:lastModifiedBy>
  <cp:lastPrinted>2026-04-06T11:00:24Z</cp:lastPrinted>
  <dcterms:created xsi:type="dcterms:W3CDTF">2026-04-04T16:16:06Z</dcterms:created>
  <dcterms:modified xsi:type="dcterms:W3CDTF">2026-04-16T08:56:28Z</dcterms:modified>
</cp:coreProperties>
</file>