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343CD55-8354-430F-9976-5E92520CBBDD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8" i="3" l="1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<sst xmlns="http://schemas.openxmlformats.org/spreadsheetml/2006/main" count="241" uniqueCount="190">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</sst>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tabSelected="1" zoomScaleNormal="100" workbookViewId="0">
      <pane ySplit="2" topLeftCell="A3" activePane="bottomLeft" state="frozen"/>
      <selection pane="bottomLeft" activeCell="C3" sqref="C3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  <row r="8" spans="1:11" x14ac:dyDescent="0.25">
      <c r="A8" s="15">
        <v>46123</v>
      </c>
      <c r="B8" s="16" t="s">
        <v>40</v>
      </c>
      <c r="C8" s="38" t="s">
        <v>24</v>
      </c>
      <c r="D8" s="17">
        <v>5990</v>
      </c>
      <c r="E8" s="37">
        <v>0</v>
      </c>
      <c r="F8" s="18">
        <f>tblBelege[[#This Row],[Netto]]*(1+tblBelege[[#This Row],[Steuer]])</f>
        <v>5990</v>
      </c>
      <c r="G8" s="18" t="str">
        <f>LEFT(tblBelege[[#This Row],[Beleg-Art]], 1) &amp; TEXT(tblBelege[[#This Row],[Datum]], "JJ") &amp; "-" &amp; tblBelege[[#This Row],[Beleg-ID]]</f>
        <v>R26-11700</v>
      </c>
      <c r="H8" s="39" t="s">
        <v>109</v>
      </c>
      <c r="I8" s="19"/>
      <c r="J8" s="21">
        <v>11700</v>
      </c>
      <c r="K8" s="21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6" sqref="A6:N6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9" sqref="A9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184</v>
      </c>
      <c r="B28" s="9" t="s">
        <v>186</v>
      </c>
      <c r="C28" s="9" t="s">
        <v>185</v>
      </c>
    </row>
    <row r="29" spans="1:3" x14ac:dyDescent="0.25">
      <c r="A29" s="9" t="s">
        <v>188</v>
      </c>
      <c r="B29" s="9" t="s">
        <v>189</v>
      </c>
      <c r="C29" s="9" t="s">
        <v>187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E5" sqref="E5:E11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2026-04-16T05:41:33Z</dcterms:modified>
</cp:coreProperties>
</file>